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https://universiteittwente-my.sharepoint.com/personal/d_s_nazareth_utwente_nl/Documents/Documents/Deniece_personal/Emotion_article/Plos_One-Submission_EmoPaper/Acceptance submission/DANS database upload/"/>
    </mc:Choice>
  </mc:AlternateContent>
  <xr:revisionPtr revIDLastSave="27" documentId="8_{233D34BA-45DB-4EDF-BE2C-CC4E144821FA}" xr6:coauthVersionLast="47" xr6:coauthVersionMax="47" xr10:uidLastSave="{869A927B-21B3-4958-AD1D-2ABC22ABEC5D}"/>
  <bookViews>
    <workbookView xWindow="-120" yWindow="-120" windowWidth="29040" windowHeight="15720" tabRatio="500" xr2:uid="{00000000-000D-0000-FFFF-FFFF00000000}"/>
  </bookViews>
  <sheets>
    <sheet name="Datafile_S2_N=17" sheetId="1" r:id="rId1"/>
    <sheet name="Sheet1" sheetId="5" r:id="rId2"/>
  </sheets>
  <definedNames>
    <definedName name="_xlnm._FilterDatabase" localSheetId="0" hidden="1">'Datafile_S2_N=17'!$L$1:$L$627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N570" i="1" l="1"/>
  <c r="I570" i="1"/>
  <c r="F570" i="1"/>
  <c r="N470" i="1"/>
  <c r="I470" i="1"/>
  <c r="F470" i="1"/>
  <c r="N370" i="1"/>
  <c r="I370" i="1"/>
  <c r="F370" i="1"/>
  <c r="N270" i="1"/>
  <c r="I270" i="1"/>
  <c r="F270" i="1"/>
  <c r="N170" i="1"/>
  <c r="I170" i="1"/>
  <c r="F170" i="1"/>
  <c r="N70" i="1"/>
  <c r="I70" i="1"/>
  <c r="F70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N627" i="1"/>
  <c r="I627" i="1"/>
  <c r="N626" i="1"/>
  <c r="I626" i="1"/>
  <c r="N625" i="1"/>
  <c r="I625" i="1"/>
  <c r="N624" i="1"/>
  <c r="I624" i="1"/>
  <c r="N623" i="1"/>
  <c r="I623" i="1"/>
  <c r="N622" i="1"/>
  <c r="I622" i="1"/>
  <c r="N621" i="1"/>
  <c r="I621" i="1"/>
  <c r="N620" i="1"/>
  <c r="I620" i="1"/>
  <c r="N619" i="1"/>
  <c r="I619" i="1"/>
  <c r="N618" i="1"/>
  <c r="I618" i="1"/>
  <c r="N617" i="1"/>
  <c r="I617" i="1"/>
  <c r="N616" i="1"/>
  <c r="I616" i="1"/>
  <c r="N615" i="1"/>
  <c r="I615" i="1"/>
  <c r="N614" i="1"/>
  <c r="I614" i="1"/>
  <c r="N613" i="1"/>
  <c r="I613" i="1"/>
  <c r="N612" i="1"/>
  <c r="I612" i="1"/>
  <c r="N611" i="1"/>
  <c r="I611" i="1"/>
  <c r="N610" i="1"/>
  <c r="I610" i="1"/>
  <c r="N609" i="1"/>
  <c r="I609" i="1"/>
  <c r="N608" i="1"/>
  <c r="I608" i="1"/>
  <c r="N607" i="1"/>
  <c r="I607" i="1"/>
  <c r="N606" i="1"/>
  <c r="I606" i="1"/>
  <c r="N605" i="1"/>
  <c r="I605" i="1"/>
  <c r="N604" i="1"/>
  <c r="I604" i="1"/>
  <c r="N603" i="1"/>
  <c r="I603" i="1"/>
  <c r="N602" i="1"/>
  <c r="I602" i="1"/>
  <c r="N601" i="1"/>
  <c r="I601" i="1"/>
  <c r="N600" i="1"/>
  <c r="I600" i="1"/>
  <c r="N599" i="1"/>
  <c r="I599" i="1"/>
  <c r="N598" i="1"/>
  <c r="I598" i="1"/>
  <c r="N597" i="1"/>
  <c r="I597" i="1"/>
  <c r="N596" i="1"/>
  <c r="I596" i="1"/>
  <c r="N595" i="1"/>
  <c r="I595" i="1"/>
  <c r="N594" i="1"/>
  <c r="I594" i="1"/>
  <c r="N593" i="1"/>
  <c r="I593" i="1"/>
  <c r="N592" i="1"/>
  <c r="I592" i="1"/>
  <c r="N591" i="1"/>
  <c r="I591" i="1"/>
  <c r="N590" i="1"/>
  <c r="I590" i="1"/>
  <c r="N589" i="1"/>
  <c r="I589" i="1"/>
  <c r="N588" i="1"/>
  <c r="I588" i="1"/>
  <c r="N587" i="1"/>
  <c r="I587" i="1"/>
  <c r="N586" i="1"/>
  <c r="I586" i="1"/>
  <c r="N585" i="1"/>
  <c r="I585" i="1"/>
  <c r="N584" i="1"/>
  <c r="I584" i="1"/>
  <c r="N583" i="1"/>
  <c r="I583" i="1"/>
  <c r="N582" i="1"/>
  <c r="I582" i="1"/>
  <c r="N581" i="1"/>
  <c r="I581" i="1"/>
  <c r="N580" i="1"/>
  <c r="I580" i="1"/>
  <c r="N579" i="1"/>
  <c r="I579" i="1"/>
  <c r="N578" i="1"/>
  <c r="I578" i="1"/>
  <c r="N577" i="1"/>
  <c r="I577" i="1"/>
  <c r="N576" i="1"/>
  <c r="I576" i="1"/>
  <c r="N575" i="1"/>
  <c r="I575" i="1"/>
  <c r="N574" i="1"/>
  <c r="I574" i="1"/>
  <c r="N573" i="1"/>
  <c r="I573" i="1"/>
  <c r="N572" i="1"/>
  <c r="I572" i="1"/>
  <c r="N571" i="1"/>
  <c r="I571" i="1"/>
  <c r="N569" i="1"/>
  <c r="I569" i="1"/>
  <c r="N568" i="1"/>
  <c r="I568" i="1"/>
  <c r="N567" i="1"/>
  <c r="I567" i="1"/>
  <c r="N566" i="1"/>
  <c r="I566" i="1"/>
  <c r="N565" i="1"/>
  <c r="I565" i="1"/>
  <c r="N564" i="1"/>
  <c r="I564" i="1"/>
  <c r="N563" i="1"/>
  <c r="I563" i="1"/>
  <c r="N562" i="1"/>
  <c r="I562" i="1"/>
  <c r="N561" i="1"/>
  <c r="I561" i="1"/>
  <c r="N560" i="1"/>
  <c r="I560" i="1"/>
  <c r="N559" i="1"/>
  <c r="I559" i="1"/>
  <c r="N558" i="1"/>
  <c r="I558" i="1"/>
  <c r="N557" i="1"/>
  <c r="I557" i="1"/>
  <c r="N556" i="1"/>
  <c r="I556" i="1"/>
  <c r="N555" i="1"/>
  <c r="I555" i="1"/>
  <c r="N554" i="1"/>
  <c r="I554" i="1"/>
  <c r="N553" i="1"/>
  <c r="I553" i="1"/>
  <c r="N552" i="1"/>
  <c r="I552" i="1"/>
  <c r="N551" i="1"/>
  <c r="I551" i="1"/>
  <c r="N550" i="1"/>
  <c r="I550" i="1"/>
  <c r="N549" i="1"/>
  <c r="I549" i="1"/>
  <c r="N548" i="1"/>
  <c r="I548" i="1"/>
  <c r="N547" i="1"/>
  <c r="I547" i="1"/>
  <c r="N546" i="1"/>
  <c r="I546" i="1"/>
  <c r="N545" i="1"/>
  <c r="I545" i="1"/>
  <c r="N544" i="1"/>
  <c r="I544" i="1"/>
  <c r="N543" i="1"/>
  <c r="I543" i="1"/>
  <c r="N542" i="1"/>
  <c r="I542" i="1"/>
  <c r="N541" i="1"/>
  <c r="I541" i="1"/>
  <c r="N540" i="1"/>
  <c r="I540" i="1"/>
  <c r="N539" i="1"/>
  <c r="I539" i="1"/>
  <c r="N538" i="1"/>
  <c r="I538" i="1"/>
  <c r="N537" i="1"/>
  <c r="I537" i="1"/>
  <c r="N536" i="1"/>
  <c r="I536" i="1"/>
  <c r="N535" i="1"/>
  <c r="I535" i="1"/>
  <c r="N534" i="1"/>
  <c r="I534" i="1"/>
  <c r="N533" i="1"/>
  <c r="I533" i="1"/>
  <c r="N532" i="1"/>
  <c r="I532" i="1"/>
  <c r="N531" i="1"/>
  <c r="I531" i="1"/>
  <c r="N530" i="1"/>
  <c r="I530" i="1"/>
  <c r="N529" i="1"/>
  <c r="I529" i="1"/>
  <c r="N528" i="1"/>
  <c r="I528" i="1"/>
  <c r="N527" i="1"/>
  <c r="I527" i="1"/>
  <c r="N526" i="1"/>
  <c r="I526" i="1"/>
  <c r="N525" i="1"/>
  <c r="I525" i="1"/>
  <c r="N524" i="1"/>
  <c r="I524" i="1"/>
  <c r="N523" i="1"/>
  <c r="I523" i="1"/>
  <c r="N522" i="1"/>
  <c r="I522" i="1"/>
  <c r="N521" i="1"/>
  <c r="I521" i="1"/>
  <c r="N520" i="1"/>
  <c r="I520" i="1"/>
  <c r="N519" i="1"/>
  <c r="I519" i="1"/>
  <c r="N518" i="1"/>
  <c r="I518" i="1"/>
  <c r="N517" i="1"/>
  <c r="I517" i="1"/>
  <c r="N516" i="1"/>
  <c r="I516" i="1"/>
  <c r="N515" i="1"/>
  <c r="I515" i="1"/>
  <c r="N514" i="1"/>
  <c r="I514" i="1"/>
  <c r="N513" i="1"/>
  <c r="I513" i="1"/>
  <c r="N512" i="1"/>
  <c r="I512" i="1"/>
  <c r="N511" i="1"/>
  <c r="I511" i="1"/>
  <c r="N510" i="1"/>
  <c r="I510" i="1"/>
  <c r="N509" i="1"/>
  <c r="I509" i="1"/>
  <c r="N508" i="1"/>
  <c r="I508" i="1"/>
  <c r="N507" i="1"/>
  <c r="I507" i="1"/>
  <c r="N506" i="1"/>
  <c r="I506" i="1"/>
  <c r="N505" i="1"/>
  <c r="I505" i="1"/>
  <c r="N504" i="1"/>
  <c r="I504" i="1"/>
  <c r="N503" i="1"/>
  <c r="I503" i="1"/>
  <c r="N502" i="1"/>
  <c r="I502" i="1"/>
  <c r="N501" i="1"/>
  <c r="I501" i="1"/>
  <c r="N500" i="1"/>
  <c r="I500" i="1"/>
  <c r="N499" i="1"/>
  <c r="I499" i="1"/>
  <c r="N498" i="1"/>
  <c r="I498" i="1"/>
  <c r="N497" i="1"/>
  <c r="I497" i="1"/>
  <c r="N496" i="1"/>
  <c r="I496" i="1"/>
  <c r="N495" i="1"/>
  <c r="I495" i="1"/>
  <c r="N494" i="1"/>
  <c r="I494" i="1"/>
  <c r="N493" i="1"/>
  <c r="I493" i="1"/>
  <c r="N492" i="1"/>
  <c r="I492" i="1"/>
  <c r="N491" i="1"/>
  <c r="I491" i="1"/>
  <c r="N490" i="1"/>
  <c r="I490" i="1"/>
  <c r="N489" i="1"/>
  <c r="I489" i="1"/>
  <c r="N488" i="1"/>
  <c r="I488" i="1"/>
  <c r="N487" i="1"/>
  <c r="I487" i="1"/>
  <c r="N486" i="1"/>
  <c r="I486" i="1"/>
  <c r="N485" i="1"/>
  <c r="I485" i="1"/>
  <c r="N484" i="1"/>
  <c r="I484" i="1"/>
  <c r="N483" i="1"/>
  <c r="I483" i="1"/>
  <c r="N482" i="1"/>
  <c r="I482" i="1"/>
  <c r="N481" i="1"/>
  <c r="I481" i="1"/>
  <c r="N480" i="1"/>
  <c r="I480" i="1"/>
  <c r="N479" i="1"/>
  <c r="I479" i="1"/>
  <c r="N478" i="1"/>
  <c r="I478" i="1"/>
  <c r="N477" i="1"/>
  <c r="I477" i="1"/>
  <c r="N476" i="1"/>
  <c r="I476" i="1"/>
  <c r="N475" i="1"/>
  <c r="I475" i="1"/>
  <c r="N474" i="1"/>
  <c r="I474" i="1"/>
  <c r="N473" i="1"/>
  <c r="I473" i="1"/>
  <c r="N472" i="1"/>
  <c r="I472" i="1"/>
  <c r="N471" i="1"/>
  <c r="I471" i="1"/>
  <c r="N469" i="1"/>
  <c r="I469" i="1"/>
  <c r="N468" i="1"/>
  <c r="I468" i="1"/>
  <c r="N467" i="1"/>
  <c r="I467" i="1"/>
  <c r="N466" i="1"/>
  <c r="I466" i="1"/>
  <c r="N465" i="1"/>
  <c r="I465" i="1"/>
  <c r="N464" i="1"/>
  <c r="I464" i="1"/>
  <c r="N463" i="1"/>
  <c r="I463" i="1"/>
  <c r="N462" i="1"/>
  <c r="I462" i="1"/>
  <c r="N461" i="1"/>
  <c r="I461" i="1"/>
  <c r="N460" i="1"/>
  <c r="I460" i="1"/>
  <c r="N459" i="1"/>
  <c r="I459" i="1"/>
  <c r="N458" i="1"/>
  <c r="I458" i="1"/>
  <c r="N457" i="1"/>
  <c r="I457" i="1"/>
  <c r="N456" i="1"/>
  <c r="I456" i="1"/>
  <c r="N455" i="1"/>
  <c r="I455" i="1"/>
  <c r="N454" i="1"/>
  <c r="I454" i="1"/>
  <c r="N453" i="1"/>
  <c r="I453" i="1"/>
  <c r="N452" i="1"/>
  <c r="I452" i="1"/>
  <c r="N451" i="1"/>
  <c r="I451" i="1"/>
  <c r="N450" i="1"/>
  <c r="I450" i="1"/>
  <c r="N449" i="1"/>
  <c r="I449" i="1"/>
  <c r="N448" i="1"/>
  <c r="I448" i="1"/>
  <c r="N447" i="1"/>
  <c r="I447" i="1"/>
  <c r="N446" i="1"/>
  <c r="I446" i="1"/>
  <c r="N445" i="1"/>
  <c r="I445" i="1"/>
  <c r="N444" i="1"/>
  <c r="I444" i="1"/>
  <c r="N443" i="1"/>
  <c r="I443" i="1"/>
  <c r="N442" i="1"/>
  <c r="I442" i="1"/>
  <c r="N441" i="1"/>
  <c r="I441" i="1"/>
  <c r="N440" i="1"/>
  <c r="I440" i="1"/>
  <c r="N439" i="1"/>
  <c r="I439" i="1"/>
  <c r="N438" i="1"/>
  <c r="I438" i="1"/>
  <c r="N437" i="1"/>
  <c r="I437" i="1"/>
  <c r="N436" i="1"/>
  <c r="I436" i="1"/>
  <c r="N435" i="1"/>
  <c r="I435" i="1"/>
  <c r="N434" i="1"/>
  <c r="I434" i="1"/>
  <c r="N433" i="1"/>
  <c r="I433" i="1"/>
  <c r="N432" i="1"/>
  <c r="I432" i="1"/>
  <c r="N431" i="1"/>
  <c r="I431" i="1"/>
  <c r="N430" i="1"/>
  <c r="I430" i="1"/>
  <c r="N429" i="1"/>
  <c r="I429" i="1"/>
  <c r="N428" i="1"/>
  <c r="I428" i="1"/>
  <c r="N427" i="1"/>
  <c r="I427" i="1"/>
  <c r="N426" i="1"/>
  <c r="I426" i="1"/>
  <c r="N425" i="1"/>
  <c r="I425" i="1"/>
  <c r="N424" i="1"/>
  <c r="I424" i="1"/>
  <c r="N423" i="1"/>
  <c r="I423" i="1"/>
  <c r="N422" i="1"/>
  <c r="I422" i="1"/>
  <c r="N421" i="1"/>
  <c r="I421" i="1"/>
  <c r="N420" i="1"/>
  <c r="I420" i="1"/>
  <c r="N419" i="1"/>
  <c r="I419" i="1"/>
  <c r="N418" i="1"/>
  <c r="I418" i="1"/>
  <c r="N417" i="1"/>
  <c r="I417" i="1"/>
  <c r="N416" i="1"/>
  <c r="I416" i="1"/>
  <c r="N415" i="1"/>
  <c r="I415" i="1"/>
  <c r="N414" i="1"/>
  <c r="I414" i="1"/>
  <c r="N413" i="1"/>
  <c r="I413" i="1"/>
  <c r="N412" i="1"/>
  <c r="I412" i="1"/>
  <c r="N411" i="1"/>
  <c r="I411" i="1"/>
  <c r="N410" i="1"/>
  <c r="I410" i="1"/>
  <c r="N409" i="1"/>
  <c r="I409" i="1"/>
  <c r="N408" i="1"/>
  <c r="I408" i="1"/>
  <c r="N407" i="1"/>
  <c r="I407" i="1"/>
  <c r="N406" i="1"/>
  <c r="I406" i="1"/>
  <c r="N405" i="1"/>
  <c r="I405" i="1"/>
  <c r="N404" i="1"/>
  <c r="I404" i="1"/>
  <c r="N403" i="1"/>
  <c r="I403" i="1"/>
  <c r="N402" i="1"/>
  <c r="I402" i="1"/>
  <c r="N401" i="1"/>
  <c r="I401" i="1"/>
  <c r="N400" i="1"/>
  <c r="I400" i="1"/>
  <c r="N399" i="1"/>
  <c r="I399" i="1"/>
  <c r="N398" i="1"/>
  <c r="I398" i="1"/>
  <c r="N397" i="1"/>
  <c r="I397" i="1"/>
  <c r="N396" i="1"/>
  <c r="I396" i="1"/>
  <c r="N395" i="1"/>
  <c r="I395" i="1"/>
  <c r="N394" i="1"/>
  <c r="I394" i="1"/>
  <c r="N393" i="1"/>
  <c r="I393" i="1"/>
  <c r="N392" i="1"/>
  <c r="I392" i="1"/>
  <c r="N391" i="1"/>
  <c r="I391" i="1"/>
  <c r="N390" i="1"/>
  <c r="I390" i="1"/>
  <c r="N389" i="1"/>
  <c r="I389" i="1"/>
  <c r="N388" i="1"/>
  <c r="I388" i="1"/>
  <c r="N387" i="1"/>
  <c r="I387" i="1"/>
  <c r="N386" i="1"/>
  <c r="I386" i="1"/>
  <c r="N385" i="1"/>
  <c r="I385" i="1"/>
  <c r="N384" i="1"/>
  <c r="I384" i="1"/>
  <c r="N383" i="1"/>
  <c r="I383" i="1"/>
  <c r="N382" i="1"/>
  <c r="I382" i="1"/>
  <c r="N381" i="1"/>
  <c r="I381" i="1"/>
  <c r="N380" i="1"/>
  <c r="I380" i="1"/>
  <c r="N379" i="1"/>
  <c r="I379" i="1"/>
  <c r="N378" i="1"/>
  <c r="I378" i="1"/>
  <c r="N377" i="1"/>
  <c r="I377" i="1"/>
  <c r="N376" i="1"/>
  <c r="I376" i="1"/>
  <c r="N375" i="1"/>
  <c r="I375" i="1"/>
  <c r="N374" i="1"/>
  <c r="I374" i="1"/>
  <c r="N373" i="1"/>
  <c r="I373" i="1"/>
  <c r="N372" i="1"/>
  <c r="I372" i="1"/>
  <c r="N371" i="1"/>
  <c r="I371" i="1"/>
  <c r="N369" i="1"/>
  <c r="I369" i="1"/>
  <c r="N368" i="1"/>
  <c r="I368" i="1"/>
  <c r="N367" i="1"/>
  <c r="I367" i="1"/>
  <c r="N366" i="1"/>
  <c r="I366" i="1"/>
  <c r="N365" i="1"/>
  <c r="I365" i="1"/>
  <c r="N364" i="1"/>
  <c r="I364" i="1"/>
  <c r="N363" i="1"/>
  <c r="I363" i="1"/>
  <c r="N362" i="1"/>
  <c r="I362" i="1"/>
  <c r="N361" i="1"/>
  <c r="I361" i="1"/>
  <c r="N360" i="1"/>
  <c r="I360" i="1"/>
  <c r="N359" i="1"/>
  <c r="I359" i="1"/>
  <c r="N358" i="1"/>
  <c r="I358" i="1"/>
  <c r="N357" i="1"/>
  <c r="I357" i="1"/>
  <c r="N356" i="1"/>
  <c r="I356" i="1"/>
  <c r="N355" i="1"/>
  <c r="I355" i="1"/>
  <c r="N354" i="1"/>
  <c r="I354" i="1"/>
  <c r="N353" i="1"/>
  <c r="I353" i="1"/>
  <c r="N352" i="1"/>
  <c r="I352" i="1"/>
  <c r="N351" i="1"/>
  <c r="I351" i="1"/>
  <c r="N350" i="1"/>
  <c r="I350" i="1"/>
  <c r="N349" i="1"/>
  <c r="I349" i="1"/>
  <c r="N348" i="1"/>
  <c r="I348" i="1"/>
  <c r="N347" i="1"/>
  <c r="I347" i="1"/>
  <c r="N346" i="1"/>
  <c r="I346" i="1"/>
  <c r="N345" i="1"/>
  <c r="I345" i="1"/>
  <c r="N344" i="1"/>
  <c r="I344" i="1"/>
  <c r="N343" i="1"/>
  <c r="I343" i="1"/>
  <c r="N342" i="1"/>
  <c r="I342" i="1"/>
  <c r="N341" i="1"/>
  <c r="I341" i="1"/>
  <c r="N340" i="1"/>
  <c r="I340" i="1"/>
  <c r="N339" i="1"/>
  <c r="I339" i="1"/>
  <c r="N338" i="1"/>
  <c r="I338" i="1"/>
  <c r="N337" i="1"/>
  <c r="I337" i="1"/>
  <c r="N336" i="1"/>
  <c r="I336" i="1"/>
  <c r="N335" i="1"/>
  <c r="I335" i="1"/>
  <c r="N334" i="1"/>
  <c r="I334" i="1"/>
  <c r="N333" i="1"/>
  <c r="I333" i="1"/>
  <c r="N332" i="1"/>
  <c r="I332" i="1"/>
  <c r="N331" i="1"/>
  <c r="I331" i="1"/>
  <c r="N330" i="1"/>
  <c r="I330" i="1"/>
  <c r="N329" i="1"/>
  <c r="I329" i="1"/>
  <c r="N328" i="1"/>
  <c r="I328" i="1"/>
  <c r="N327" i="1"/>
  <c r="I327" i="1"/>
  <c r="N326" i="1"/>
  <c r="I326" i="1"/>
  <c r="N325" i="1"/>
  <c r="I325" i="1"/>
  <c r="N324" i="1"/>
  <c r="I324" i="1"/>
  <c r="N323" i="1"/>
  <c r="I323" i="1"/>
  <c r="N322" i="1"/>
  <c r="I322" i="1"/>
  <c r="N321" i="1"/>
  <c r="I321" i="1"/>
  <c r="N320" i="1"/>
  <c r="I320" i="1"/>
  <c r="N319" i="1"/>
  <c r="I319" i="1"/>
  <c r="N318" i="1"/>
  <c r="I318" i="1"/>
  <c r="N317" i="1"/>
  <c r="I317" i="1"/>
  <c r="N316" i="1"/>
  <c r="I316" i="1"/>
  <c r="N315" i="1"/>
  <c r="I315" i="1"/>
  <c r="N314" i="1"/>
  <c r="I314" i="1"/>
  <c r="N313" i="1"/>
  <c r="I313" i="1"/>
  <c r="N312" i="1"/>
  <c r="I312" i="1"/>
  <c r="N311" i="1"/>
  <c r="I311" i="1"/>
  <c r="N310" i="1"/>
  <c r="I310" i="1"/>
  <c r="N309" i="1"/>
  <c r="I309" i="1"/>
  <c r="N308" i="1"/>
  <c r="I308" i="1"/>
  <c r="N307" i="1"/>
  <c r="I307" i="1"/>
  <c r="N306" i="1"/>
  <c r="I306" i="1"/>
  <c r="N305" i="1"/>
  <c r="I305" i="1"/>
  <c r="N304" i="1"/>
  <c r="I304" i="1"/>
  <c r="N303" i="1"/>
  <c r="I303" i="1"/>
  <c r="N302" i="1"/>
  <c r="I302" i="1"/>
  <c r="N301" i="1"/>
  <c r="I301" i="1"/>
  <c r="N300" i="1"/>
  <c r="I300" i="1"/>
  <c r="N299" i="1"/>
  <c r="I299" i="1"/>
  <c r="N298" i="1"/>
  <c r="I298" i="1"/>
  <c r="N297" i="1"/>
  <c r="I297" i="1"/>
  <c r="N296" i="1"/>
  <c r="I296" i="1"/>
  <c r="N295" i="1"/>
  <c r="I295" i="1"/>
  <c r="N294" i="1"/>
  <c r="I294" i="1"/>
  <c r="N293" i="1"/>
  <c r="I293" i="1"/>
  <c r="N292" i="1"/>
  <c r="I292" i="1"/>
  <c r="N291" i="1"/>
  <c r="I291" i="1"/>
  <c r="N290" i="1"/>
  <c r="I290" i="1"/>
  <c r="N289" i="1"/>
  <c r="I289" i="1"/>
  <c r="N288" i="1"/>
  <c r="I288" i="1"/>
  <c r="N287" i="1"/>
  <c r="I287" i="1"/>
  <c r="N286" i="1"/>
  <c r="I286" i="1"/>
  <c r="N285" i="1"/>
  <c r="I285" i="1"/>
  <c r="N284" i="1"/>
  <c r="I284" i="1"/>
  <c r="N283" i="1"/>
  <c r="I283" i="1"/>
  <c r="N282" i="1"/>
  <c r="I282" i="1"/>
  <c r="N281" i="1"/>
  <c r="I281" i="1"/>
  <c r="N280" i="1"/>
  <c r="I280" i="1"/>
  <c r="N279" i="1"/>
  <c r="I279" i="1"/>
  <c r="N278" i="1"/>
  <c r="I278" i="1"/>
  <c r="N277" i="1"/>
  <c r="I277" i="1"/>
  <c r="N276" i="1"/>
  <c r="I276" i="1"/>
  <c r="N275" i="1"/>
  <c r="I275" i="1"/>
  <c r="N274" i="1"/>
  <c r="I274" i="1"/>
  <c r="N273" i="1"/>
  <c r="I273" i="1"/>
  <c r="N272" i="1"/>
  <c r="I272" i="1"/>
  <c r="N271" i="1"/>
  <c r="I271" i="1"/>
  <c r="N269" i="1"/>
  <c r="I269" i="1"/>
  <c r="N268" i="1"/>
  <c r="I268" i="1"/>
  <c r="N267" i="1"/>
  <c r="I267" i="1"/>
  <c r="N266" i="1"/>
  <c r="I266" i="1"/>
  <c r="N265" i="1"/>
  <c r="I265" i="1"/>
  <c r="N264" i="1"/>
  <c r="I264" i="1"/>
  <c r="N263" i="1"/>
  <c r="I263" i="1"/>
  <c r="N262" i="1"/>
  <c r="I262" i="1"/>
  <c r="N261" i="1"/>
  <c r="I261" i="1"/>
  <c r="N260" i="1"/>
  <c r="I260" i="1"/>
  <c r="N259" i="1"/>
  <c r="I259" i="1"/>
  <c r="N258" i="1"/>
  <c r="I258" i="1"/>
  <c r="N257" i="1"/>
  <c r="I257" i="1"/>
  <c r="N256" i="1"/>
  <c r="I256" i="1"/>
  <c r="N255" i="1"/>
  <c r="I255" i="1"/>
  <c r="N254" i="1"/>
  <c r="I254" i="1"/>
  <c r="N253" i="1"/>
  <c r="I253" i="1"/>
  <c r="N252" i="1"/>
  <c r="I252" i="1"/>
  <c r="N251" i="1"/>
  <c r="I251" i="1"/>
  <c r="N250" i="1"/>
  <c r="I250" i="1"/>
  <c r="N249" i="1"/>
  <c r="I249" i="1"/>
  <c r="N248" i="1"/>
  <c r="I248" i="1"/>
  <c r="N247" i="1"/>
  <c r="I247" i="1"/>
  <c r="N246" i="1"/>
  <c r="I246" i="1"/>
  <c r="N245" i="1"/>
  <c r="I245" i="1"/>
  <c r="N244" i="1"/>
  <c r="I244" i="1"/>
  <c r="N243" i="1"/>
  <c r="I243" i="1"/>
  <c r="N242" i="1"/>
  <c r="I242" i="1"/>
  <c r="N241" i="1"/>
  <c r="I241" i="1"/>
  <c r="N240" i="1"/>
  <c r="I240" i="1"/>
  <c r="N239" i="1"/>
  <c r="I239" i="1"/>
  <c r="N238" i="1"/>
  <c r="I238" i="1"/>
  <c r="N237" i="1"/>
  <c r="I237" i="1"/>
  <c r="N236" i="1"/>
  <c r="I236" i="1"/>
  <c r="N235" i="1"/>
  <c r="I235" i="1"/>
  <c r="N234" i="1"/>
  <c r="I234" i="1"/>
  <c r="N233" i="1"/>
  <c r="I233" i="1"/>
  <c r="N232" i="1"/>
  <c r="I232" i="1"/>
  <c r="N231" i="1"/>
  <c r="I231" i="1"/>
  <c r="N230" i="1"/>
  <c r="I230" i="1"/>
  <c r="N229" i="1"/>
  <c r="I229" i="1"/>
  <c r="N228" i="1"/>
  <c r="I228" i="1"/>
  <c r="N227" i="1"/>
  <c r="I227" i="1"/>
  <c r="N226" i="1"/>
  <c r="I226" i="1"/>
  <c r="N225" i="1"/>
  <c r="I225" i="1"/>
  <c r="N224" i="1"/>
  <c r="I224" i="1"/>
  <c r="N223" i="1"/>
  <c r="I223" i="1"/>
  <c r="N222" i="1"/>
  <c r="I222" i="1"/>
  <c r="N221" i="1"/>
  <c r="I221" i="1"/>
  <c r="N220" i="1"/>
  <c r="I220" i="1"/>
  <c r="N219" i="1"/>
  <c r="I219" i="1"/>
  <c r="N218" i="1"/>
  <c r="I218" i="1"/>
  <c r="N217" i="1"/>
  <c r="I217" i="1"/>
  <c r="I216" i="1"/>
  <c r="I215" i="1"/>
  <c r="I214" i="1"/>
  <c r="N213" i="1"/>
  <c r="I213" i="1"/>
  <c r="N212" i="1"/>
  <c r="I212" i="1"/>
  <c r="N211" i="1"/>
  <c r="I211" i="1"/>
  <c r="N210" i="1"/>
  <c r="I210" i="1"/>
  <c r="N209" i="1"/>
  <c r="I209" i="1"/>
  <c r="N208" i="1"/>
  <c r="I208" i="1"/>
  <c r="N207" i="1"/>
  <c r="I207" i="1"/>
  <c r="N206" i="1"/>
  <c r="I206" i="1"/>
  <c r="N205" i="1"/>
  <c r="I205" i="1"/>
  <c r="N204" i="1"/>
  <c r="I204" i="1"/>
  <c r="N203" i="1"/>
  <c r="I203" i="1"/>
  <c r="N202" i="1"/>
  <c r="I202" i="1"/>
  <c r="N201" i="1"/>
  <c r="I201" i="1"/>
  <c r="N200" i="1"/>
  <c r="I200" i="1"/>
  <c r="N199" i="1"/>
  <c r="I199" i="1"/>
  <c r="N198" i="1"/>
  <c r="I198" i="1"/>
  <c r="N197" i="1"/>
  <c r="I197" i="1"/>
  <c r="N196" i="1"/>
  <c r="I196" i="1"/>
  <c r="N195" i="1"/>
  <c r="I195" i="1"/>
  <c r="N194" i="1"/>
  <c r="I194" i="1"/>
  <c r="N193" i="1"/>
  <c r="I193" i="1"/>
  <c r="N192" i="1"/>
  <c r="I192" i="1"/>
  <c r="N191" i="1"/>
  <c r="I191" i="1"/>
  <c r="N190" i="1"/>
  <c r="I190" i="1"/>
  <c r="N189" i="1"/>
  <c r="I189" i="1"/>
  <c r="N188" i="1"/>
  <c r="I188" i="1"/>
  <c r="N187" i="1"/>
  <c r="I187" i="1"/>
  <c r="N186" i="1"/>
  <c r="I186" i="1"/>
  <c r="N185" i="1"/>
  <c r="I185" i="1"/>
  <c r="N184" i="1"/>
  <c r="I184" i="1"/>
  <c r="N183" i="1"/>
  <c r="I183" i="1"/>
  <c r="N182" i="1"/>
  <c r="I182" i="1"/>
  <c r="N181" i="1"/>
  <c r="I181" i="1"/>
  <c r="N180" i="1"/>
  <c r="I180" i="1"/>
  <c r="N179" i="1"/>
  <c r="I179" i="1"/>
  <c r="N178" i="1"/>
  <c r="I178" i="1"/>
  <c r="N177" i="1"/>
  <c r="I177" i="1"/>
  <c r="N176" i="1"/>
  <c r="I176" i="1"/>
  <c r="N175" i="1"/>
  <c r="I175" i="1"/>
  <c r="N174" i="1"/>
  <c r="I174" i="1"/>
  <c r="N173" i="1"/>
  <c r="I173" i="1"/>
  <c r="N172" i="1"/>
  <c r="I172" i="1"/>
  <c r="N171" i="1"/>
  <c r="I171" i="1"/>
  <c r="N169" i="1"/>
  <c r="I169" i="1"/>
  <c r="N168" i="1"/>
  <c r="I168" i="1"/>
  <c r="N167" i="1"/>
  <c r="I167" i="1"/>
  <c r="N166" i="1"/>
  <c r="I166" i="1"/>
  <c r="N165" i="1"/>
  <c r="I165" i="1"/>
  <c r="N164" i="1"/>
  <c r="I164" i="1"/>
  <c r="N163" i="1"/>
  <c r="I163" i="1"/>
  <c r="N162" i="1"/>
  <c r="I162" i="1"/>
  <c r="N161" i="1"/>
  <c r="I161" i="1"/>
  <c r="N160" i="1"/>
  <c r="I160" i="1"/>
  <c r="N159" i="1"/>
  <c r="I159" i="1"/>
  <c r="N158" i="1"/>
  <c r="I158" i="1"/>
  <c r="N157" i="1"/>
  <c r="I157" i="1"/>
  <c r="N156" i="1"/>
  <c r="I156" i="1"/>
  <c r="N155" i="1"/>
  <c r="I155" i="1"/>
  <c r="N154" i="1"/>
  <c r="I154" i="1"/>
  <c r="N153" i="1"/>
  <c r="I153" i="1"/>
  <c r="N152" i="1"/>
  <c r="I152" i="1"/>
  <c r="N151" i="1"/>
  <c r="I151" i="1"/>
  <c r="N150" i="1"/>
  <c r="I150" i="1"/>
  <c r="N149" i="1"/>
  <c r="I149" i="1"/>
  <c r="N148" i="1"/>
  <c r="I148" i="1"/>
  <c r="N147" i="1"/>
  <c r="I147" i="1"/>
  <c r="N146" i="1"/>
  <c r="I146" i="1"/>
  <c r="N145" i="1"/>
  <c r="I145" i="1"/>
  <c r="N144" i="1"/>
  <c r="I144" i="1"/>
  <c r="N143" i="1"/>
  <c r="I143" i="1"/>
  <c r="N142" i="1"/>
  <c r="I142" i="1"/>
  <c r="N141" i="1"/>
  <c r="I141" i="1"/>
  <c r="N140" i="1"/>
  <c r="I140" i="1"/>
  <c r="N139" i="1"/>
  <c r="I139" i="1"/>
  <c r="N138" i="1"/>
  <c r="I138" i="1"/>
  <c r="N137" i="1"/>
  <c r="I137" i="1"/>
  <c r="N136" i="1"/>
  <c r="I136" i="1"/>
  <c r="N135" i="1"/>
  <c r="I135" i="1"/>
  <c r="N134" i="1"/>
  <c r="I134" i="1"/>
  <c r="N133" i="1"/>
  <c r="I133" i="1"/>
  <c r="N132" i="1"/>
  <c r="I132" i="1"/>
  <c r="N131" i="1"/>
  <c r="I131" i="1"/>
  <c r="N130" i="1"/>
  <c r="I130" i="1"/>
  <c r="N129" i="1"/>
  <c r="I129" i="1"/>
  <c r="N128" i="1"/>
  <c r="I128" i="1"/>
  <c r="N127" i="1"/>
  <c r="I127" i="1"/>
  <c r="N126" i="1"/>
  <c r="I126" i="1"/>
  <c r="N125" i="1"/>
  <c r="I125" i="1"/>
  <c r="N124" i="1"/>
  <c r="I124" i="1"/>
  <c r="N123" i="1"/>
  <c r="I123" i="1"/>
  <c r="N122" i="1"/>
  <c r="I122" i="1"/>
  <c r="N121" i="1"/>
  <c r="I121" i="1"/>
  <c r="N120" i="1"/>
  <c r="I120" i="1"/>
  <c r="N119" i="1"/>
  <c r="I119" i="1"/>
  <c r="N118" i="1"/>
  <c r="I118" i="1"/>
  <c r="N117" i="1"/>
  <c r="I117" i="1"/>
  <c r="N116" i="1"/>
  <c r="I116" i="1"/>
  <c r="N115" i="1"/>
  <c r="I115" i="1"/>
  <c r="N114" i="1"/>
  <c r="I114" i="1"/>
  <c r="N113" i="1"/>
  <c r="I113" i="1"/>
  <c r="N112" i="1"/>
  <c r="I112" i="1"/>
  <c r="N111" i="1"/>
  <c r="I111" i="1"/>
  <c r="N110" i="1"/>
  <c r="I110" i="1"/>
  <c r="N109" i="1"/>
  <c r="I109" i="1"/>
  <c r="N108" i="1"/>
  <c r="I108" i="1"/>
  <c r="N107" i="1"/>
  <c r="I107" i="1"/>
  <c r="N106" i="1"/>
  <c r="I106" i="1"/>
  <c r="N105" i="1"/>
  <c r="I105" i="1"/>
  <c r="N104" i="1"/>
  <c r="I104" i="1"/>
  <c r="N103" i="1"/>
  <c r="I103" i="1"/>
  <c r="N102" i="1"/>
  <c r="I102" i="1"/>
  <c r="N101" i="1"/>
  <c r="I101" i="1"/>
  <c r="N100" i="1"/>
  <c r="I100" i="1"/>
  <c r="N99" i="1"/>
  <c r="I99" i="1"/>
  <c r="N98" i="1"/>
  <c r="I98" i="1"/>
  <c r="N97" i="1"/>
  <c r="I97" i="1"/>
  <c r="N96" i="1"/>
  <c r="I96" i="1"/>
  <c r="N95" i="1"/>
  <c r="I95" i="1"/>
  <c r="N94" i="1"/>
  <c r="I94" i="1"/>
  <c r="N93" i="1"/>
  <c r="I93" i="1"/>
  <c r="N92" i="1"/>
  <c r="I92" i="1"/>
  <c r="N91" i="1"/>
  <c r="I91" i="1"/>
  <c r="N90" i="1"/>
  <c r="I90" i="1"/>
  <c r="N89" i="1"/>
  <c r="I89" i="1"/>
  <c r="N88" i="1"/>
  <c r="I88" i="1"/>
  <c r="N87" i="1"/>
  <c r="I87" i="1"/>
  <c r="N86" i="1"/>
  <c r="I86" i="1"/>
  <c r="N85" i="1"/>
  <c r="I85" i="1"/>
  <c r="N84" i="1"/>
  <c r="I84" i="1"/>
  <c r="N83" i="1"/>
  <c r="I83" i="1"/>
  <c r="N82" i="1"/>
  <c r="I82" i="1"/>
  <c r="N81" i="1"/>
  <c r="I81" i="1"/>
  <c r="N80" i="1"/>
  <c r="I80" i="1"/>
  <c r="N79" i="1"/>
  <c r="I79" i="1"/>
  <c r="N78" i="1"/>
  <c r="I78" i="1"/>
  <c r="N77" i="1"/>
  <c r="I77" i="1"/>
  <c r="N76" i="1"/>
  <c r="I76" i="1"/>
  <c r="N75" i="1"/>
  <c r="I75" i="1"/>
  <c r="N74" i="1"/>
  <c r="I74" i="1"/>
  <c r="N73" i="1"/>
  <c r="I73" i="1"/>
  <c r="N72" i="1"/>
  <c r="I72" i="1"/>
  <c r="N71" i="1"/>
  <c r="I71" i="1"/>
  <c r="N69" i="1"/>
  <c r="I69" i="1"/>
  <c r="N68" i="1"/>
  <c r="I68" i="1"/>
  <c r="N67" i="1"/>
  <c r="I67" i="1"/>
  <c r="N66" i="1"/>
  <c r="I66" i="1"/>
  <c r="N65" i="1"/>
  <c r="I65" i="1"/>
  <c r="N64" i="1"/>
  <c r="I64" i="1"/>
  <c r="N63" i="1"/>
  <c r="I63" i="1"/>
  <c r="N62" i="1"/>
  <c r="I62" i="1"/>
  <c r="N61" i="1"/>
  <c r="I61" i="1"/>
  <c r="N60" i="1"/>
  <c r="I60" i="1"/>
  <c r="N59" i="1"/>
  <c r="I59" i="1"/>
  <c r="N58" i="1"/>
  <c r="I58" i="1"/>
  <c r="N57" i="1"/>
  <c r="I57" i="1"/>
  <c r="N56" i="1"/>
  <c r="I56" i="1"/>
  <c r="N55" i="1"/>
  <c r="I55" i="1"/>
  <c r="N54" i="1"/>
  <c r="I54" i="1"/>
  <c r="N53" i="1"/>
  <c r="I53" i="1"/>
  <c r="N52" i="1"/>
  <c r="I52" i="1"/>
  <c r="N51" i="1"/>
  <c r="I51" i="1"/>
  <c r="N50" i="1"/>
  <c r="I50" i="1"/>
  <c r="N49" i="1"/>
  <c r="I49" i="1"/>
  <c r="N48" i="1"/>
  <c r="I48" i="1"/>
  <c r="N47" i="1"/>
  <c r="I47" i="1"/>
  <c r="N46" i="1"/>
  <c r="I46" i="1"/>
  <c r="N45" i="1"/>
  <c r="I45" i="1"/>
  <c r="N44" i="1"/>
  <c r="I44" i="1"/>
  <c r="N43" i="1"/>
  <c r="I43" i="1"/>
  <c r="N42" i="1"/>
  <c r="I42" i="1"/>
  <c r="N41" i="1"/>
  <c r="I41" i="1"/>
  <c r="N40" i="1"/>
  <c r="I40" i="1"/>
  <c r="N39" i="1"/>
  <c r="I39" i="1"/>
  <c r="N38" i="1"/>
  <c r="I38" i="1"/>
  <c r="N37" i="1"/>
  <c r="I37" i="1"/>
  <c r="N36" i="1"/>
  <c r="I36" i="1"/>
  <c r="N35" i="1"/>
  <c r="I35" i="1"/>
  <c r="N34" i="1"/>
  <c r="I34" i="1"/>
  <c r="N33" i="1"/>
  <c r="I33" i="1"/>
  <c r="N32" i="1"/>
  <c r="I32" i="1"/>
  <c r="N31" i="1"/>
  <c r="I31" i="1"/>
  <c r="N30" i="1"/>
  <c r="I30" i="1"/>
  <c r="N29" i="1"/>
  <c r="I29" i="1"/>
  <c r="N28" i="1"/>
  <c r="I28" i="1"/>
  <c r="N27" i="1"/>
  <c r="I27" i="1"/>
  <c r="N26" i="1"/>
  <c r="I26" i="1"/>
  <c r="N25" i="1"/>
  <c r="I25" i="1"/>
  <c r="N24" i="1"/>
  <c r="I24" i="1"/>
  <c r="N23" i="1"/>
  <c r="I23" i="1"/>
  <c r="N22" i="1"/>
  <c r="I22" i="1"/>
  <c r="N21" i="1"/>
  <c r="I21" i="1"/>
  <c r="N20" i="1"/>
  <c r="I20" i="1"/>
  <c r="N19" i="1"/>
  <c r="I19" i="1"/>
  <c r="N18" i="1"/>
  <c r="I18" i="1"/>
  <c r="N17" i="1"/>
  <c r="I17" i="1"/>
  <c r="N16" i="1"/>
  <c r="I16" i="1"/>
  <c r="N15" i="1"/>
  <c r="I15" i="1"/>
  <c r="N14" i="1"/>
  <c r="I14" i="1"/>
  <c r="N13" i="1"/>
  <c r="I13" i="1"/>
  <c r="N12" i="1"/>
  <c r="I12" i="1"/>
  <c r="N11" i="1"/>
  <c r="I11" i="1"/>
  <c r="N10" i="1"/>
  <c r="I10" i="1"/>
  <c r="N9" i="1"/>
  <c r="I9" i="1"/>
  <c r="N8" i="1"/>
  <c r="I8" i="1"/>
  <c r="N7" i="1"/>
  <c r="I7" i="1"/>
  <c r="N6" i="1"/>
  <c r="I6" i="1"/>
  <c r="N5" i="1"/>
  <c r="I5" i="1"/>
  <c r="N4" i="1"/>
  <c r="I4" i="1"/>
  <c r="N3" i="1"/>
  <c r="I3" i="1"/>
</calcChain>
</file>

<file path=xl/sharedStrings.xml><?xml version="1.0" encoding="utf-8"?>
<sst xmlns="http://schemas.openxmlformats.org/spreadsheetml/2006/main" count="2669" uniqueCount="309">
  <si>
    <t>(1=male;  2=female)</t>
  </si>
  <si>
    <t>(1=happy;2=sad)</t>
  </si>
  <si>
    <t>[min:sec,ms]</t>
  </si>
  <si>
    <t>#segments</t>
  </si>
  <si>
    <t>Participant</t>
  </si>
  <si>
    <t xml:space="preserve">gender </t>
  </si>
  <si>
    <t>Cue_word</t>
  </si>
  <si>
    <t>Cue_word_coded</t>
  </si>
  <si>
    <t>Emotion_Memory_Aggregated</t>
  </si>
  <si>
    <t>Emotional_memory</t>
  </si>
  <si>
    <t>Emo_Mem_coded</t>
  </si>
  <si>
    <t>Emotional_Memory_Topic</t>
  </si>
  <si>
    <t>Emotional_Memory_Topic_Coded</t>
  </si>
  <si>
    <t xml:space="preserve">Emotional_memory_duration </t>
  </si>
  <si>
    <t>sentiment_M</t>
  </si>
  <si>
    <t>sentiment_SD</t>
  </si>
  <si>
    <t>Happy</t>
  </si>
  <si>
    <t>HM1</t>
  </si>
  <si>
    <t>HM1.1</t>
  </si>
  <si>
    <t>HM1.2</t>
  </si>
  <si>
    <t>HM1.3</t>
  </si>
  <si>
    <t>HM1.4</t>
  </si>
  <si>
    <t>HM1.5</t>
  </si>
  <si>
    <t>HM1.6</t>
  </si>
  <si>
    <t>HM1.7</t>
  </si>
  <si>
    <t>HM1.8</t>
  </si>
  <si>
    <t>HM2</t>
  </si>
  <si>
    <t>HM2.1</t>
  </si>
  <si>
    <t>HM2.2</t>
  </si>
  <si>
    <t>HM2.3</t>
  </si>
  <si>
    <t>HM2.4</t>
  </si>
  <si>
    <t>HM2.5</t>
  </si>
  <si>
    <t>HM2.6</t>
  </si>
  <si>
    <t>HM2.7</t>
  </si>
  <si>
    <t>HM2.8</t>
  </si>
  <si>
    <t>HM2.9</t>
  </si>
  <si>
    <t>HM2.10</t>
  </si>
  <si>
    <t>HM2.11</t>
  </si>
  <si>
    <t>HM3</t>
  </si>
  <si>
    <t>HM3.1</t>
  </si>
  <si>
    <t>HM3.2</t>
  </si>
  <si>
    <t>HM3.3</t>
  </si>
  <si>
    <t>HM3.4</t>
  </si>
  <si>
    <t>HM3.5</t>
  </si>
  <si>
    <t>HM3.6</t>
  </si>
  <si>
    <t>HM3.7</t>
  </si>
  <si>
    <t>HM3.8</t>
  </si>
  <si>
    <t>HM3.9</t>
  </si>
  <si>
    <t>HM3.10</t>
  </si>
  <si>
    <t>HM3.11</t>
  </si>
  <si>
    <t>HM3.12</t>
  </si>
  <si>
    <t>HM3.13</t>
  </si>
  <si>
    <t>HM3.14</t>
  </si>
  <si>
    <t>Sad</t>
  </si>
  <si>
    <t>SM1</t>
  </si>
  <si>
    <t>SM1.1</t>
  </si>
  <si>
    <t>SM1.2</t>
  </si>
  <si>
    <t>SM1.3</t>
  </si>
  <si>
    <t>SM1.4</t>
  </si>
  <si>
    <t>SM1.5</t>
  </si>
  <si>
    <t>SM1.6</t>
  </si>
  <si>
    <t>SM1.7</t>
  </si>
  <si>
    <t>SM1.8</t>
  </si>
  <si>
    <t>SM1.9</t>
  </si>
  <si>
    <t>SM1.10</t>
  </si>
  <si>
    <t>SM1.11</t>
  </si>
  <si>
    <t>SM1.12</t>
  </si>
  <si>
    <t>SM1.13</t>
  </si>
  <si>
    <t>SM1.14</t>
  </si>
  <si>
    <t>SM1.15</t>
  </si>
  <si>
    <t>SM1.16</t>
  </si>
  <si>
    <t>SM1.17</t>
  </si>
  <si>
    <t>SM1.18</t>
  </si>
  <si>
    <t>SM1.19</t>
  </si>
  <si>
    <t>SM1.20</t>
  </si>
  <si>
    <t>SM1.21</t>
  </si>
  <si>
    <t>SM2</t>
  </si>
  <si>
    <t>SM2.1</t>
  </si>
  <si>
    <t>SM2.2</t>
  </si>
  <si>
    <t>SM2.3</t>
  </si>
  <si>
    <t>SM2.4</t>
  </si>
  <si>
    <t>SM2.5</t>
  </si>
  <si>
    <t>SM2.6</t>
  </si>
  <si>
    <t>SM2.7</t>
  </si>
  <si>
    <t>SM3</t>
  </si>
  <si>
    <t>SM3.1</t>
  </si>
  <si>
    <t>SM3.2</t>
  </si>
  <si>
    <t>SM3.3</t>
  </si>
  <si>
    <t>SM3.4</t>
  </si>
  <si>
    <t>SM3.5</t>
  </si>
  <si>
    <t>SM3.6</t>
  </si>
  <si>
    <t>SM3.7</t>
  </si>
  <si>
    <t>SM3.8</t>
  </si>
  <si>
    <t>SM3.9</t>
  </si>
  <si>
    <t>SM2.8</t>
  </si>
  <si>
    <t>SM2.9</t>
  </si>
  <si>
    <t>SM2.10</t>
  </si>
  <si>
    <t>NA</t>
  </si>
  <si>
    <t>HM1.9</t>
  </si>
  <si>
    <t>SM2.11</t>
  </si>
  <si>
    <t>SM2.12</t>
  </si>
  <si>
    <t>SM2.13</t>
  </si>
  <si>
    <t>HM2.12</t>
  </si>
  <si>
    <t>HM2.13</t>
  </si>
  <si>
    <t>SM3.10</t>
  </si>
  <si>
    <t>SM3.11</t>
  </si>
  <si>
    <t>Sm2.2</t>
  </si>
  <si>
    <t>interval_number</t>
  </si>
  <si>
    <t>starttime</t>
  </si>
  <si>
    <t>endtime</t>
  </si>
  <si>
    <t>z_mean_pitch</t>
  </si>
  <si>
    <t>z_sd_pitch</t>
  </si>
  <si>
    <t>z_range_pitch</t>
  </si>
  <si>
    <t>z_mean_intens</t>
  </si>
  <si>
    <t>z_sd_intens</t>
  </si>
  <si>
    <t>z_range_intens</t>
  </si>
  <si>
    <t>z_hammarberg</t>
  </si>
  <si>
    <t>z_ar</t>
  </si>
  <si>
    <t>z_mean_dur_silent</t>
  </si>
  <si>
    <t>z_sil_rate</t>
  </si>
  <si>
    <t>AU01_int_dur_pmin</t>
  </si>
  <si>
    <t>AU01_int_std</t>
  </si>
  <si>
    <t>AU01_int_zscore</t>
  </si>
  <si>
    <t>AU04_int_dur_pmin</t>
  </si>
  <si>
    <t>AU04_int_std</t>
  </si>
  <si>
    <t>AU04_int_zscore</t>
  </si>
  <si>
    <t>AU09_int_dur_pmin</t>
  </si>
  <si>
    <t>AU09_int_std</t>
  </si>
  <si>
    <t>AU09_int_zscore</t>
  </si>
  <si>
    <t>AU10_int_dur_pmin</t>
  </si>
  <si>
    <t>AU10_int_std</t>
  </si>
  <si>
    <t>AU10_int_zscore</t>
  </si>
  <si>
    <t>AU12_int_dur_pmin</t>
  </si>
  <si>
    <t>AU12_int_std</t>
  </si>
  <si>
    <t>AU12_int_zscore</t>
  </si>
  <si>
    <t>AU14_int_dur_pmin</t>
  </si>
  <si>
    <t>AU14_int_std</t>
  </si>
  <si>
    <t>AU14_int_zscore</t>
  </si>
  <si>
    <t>AU15_int_dur_pmin</t>
  </si>
  <si>
    <t>AU15_int_std</t>
  </si>
  <si>
    <t>AU15_int_zscore</t>
  </si>
  <si>
    <t>duration</t>
  </si>
  <si>
    <t>topic_index</t>
  </si>
  <si>
    <t>00:44,44</t>
  </si>
  <si>
    <t>00:22,22</t>
  </si>
  <si>
    <t>00:10,10</t>
  </si>
  <si>
    <t>00:16,16</t>
  </si>
  <si>
    <t>00:21,21</t>
  </si>
  <si>
    <t>00:25,25</t>
  </si>
  <si>
    <t>00:42,42</t>
  </si>
  <si>
    <t>00:13,13</t>
  </si>
  <si>
    <t>00:18,18</t>
  </si>
  <si>
    <t>00:24,24</t>
  </si>
  <si>
    <t>00:26,26</t>
  </si>
  <si>
    <t>00:39,39</t>
  </si>
  <si>
    <t>00:19,19</t>
  </si>
  <si>
    <t>00:34,34</t>
  </si>
  <si>
    <t>00:14,14</t>
  </si>
  <si>
    <t>00:23,23</t>
  </si>
  <si>
    <t>00:20,20</t>
  </si>
  <si>
    <t>00:28,28</t>
  </si>
  <si>
    <t>00:06,06</t>
  </si>
  <si>
    <t>00:40,40</t>
  </si>
  <si>
    <t>00:36,36</t>
  </si>
  <si>
    <t>00:33,33</t>
  </si>
  <si>
    <t>00:31,31</t>
  </si>
  <si>
    <t>00:12,12</t>
  </si>
  <si>
    <t>00:47,47</t>
  </si>
  <si>
    <t>00:41,41</t>
  </si>
  <si>
    <t>00:11,11</t>
  </si>
  <si>
    <t>00:38,38</t>
  </si>
  <si>
    <t>01:20,20</t>
  </si>
  <si>
    <t>00:29,29</t>
  </si>
  <si>
    <t>01:00,00</t>
  </si>
  <si>
    <t>00:17,17</t>
  </si>
  <si>
    <t>00:32,32</t>
  </si>
  <si>
    <t>00:37,37</t>
  </si>
  <si>
    <t>01:31,31</t>
  </si>
  <si>
    <t>00:52,52</t>
  </si>
  <si>
    <t>01:41,41</t>
  </si>
  <si>
    <t>01:09,09</t>
  </si>
  <si>
    <t>00:48,48</t>
  </si>
  <si>
    <t>00:58,58</t>
  </si>
  <si>
    <t>00:53,53</t>
  </si>
  <si>
    <t>01:19,19</t>
  </si>
  <si>
    <t>01:25,25</t>
  </si>
  <si>
    <t>01:18,18</t>
  </si>
  <si>
    <t>01:50,50</t>
  </si>
  <si>
    <t>00:46,46</t>
  </si>
  <si>
    <t>01:02,02</t>
  </si>
  <si>
    <t>00:43,43</t>
  </si>
  <si>
    <t>01:14,14</t>
  </si>
  <si>
    <t>01:26,26</t>
  </si>
  <si>
    <t>01:33,33</t>
  </si>
  <si>
    <t>02:16,16</t>
  </si>
  <si>
    <t>01:22,22</t>
  </si>
  <si>
    <t>01:05,05</t>
  </si>
  <si>
    <t>01:17,17</t>
  </si>
  <si>
    <t>05:16,16</t>
  </si>
  <si>
    <t>01:28,28</t>
  </si>
  <si>
    <t>00:59,59</t>
  </si>
  <si>
    <t>03:30,30</t>
  </si>
  <si>
    <t>03:43,43</t>
  </si>
  <si>
    <t>01:24,24</t>
  </si>
  <si>
    <t>01:11,11</t>
  </si>
  <si>
    <t>00:45,45</t>
  </si>
  <si>
    <t>01:16,16</t>
  </si>
  <si>
    <t>00:56,56</t>
  </si>
  <si>
    <t>00:54,54</t>
  </si>
  <si>
    <t>01:23,23</t>
  </si>
  <si>
    <t>01:52,52</t>
  </si>
  <si>
    <t>01:01,01</t>
  </si>
  <si>
    <t>01:12,12</t>
  </si>
  <si>
    <t>01:40,40</t>
  </si>
  <si>
    <t>02:08,08</t>
  </si>
  <si>
    <t>00:55,55</t>
  </si>
  <si>
    <t>00:35,35</t>
  </si>
  <si>
    <t>01:21,21</t>
  </si>
  <si>
    <t>02:48,48</t>
  </si>
  <si>
    <t>00:50,50</t>
  </si>
  <si>
    <t>02:11,11</t>
  </si>
  <si>
    <t>01:39,39</t>
  </si>
  <si>
    <t>00:30,30</t>
  </si>
  <si>
    <t>00:27,27</t>
  </si>
  <si>
    <t>00:49,49</t>
  </si>
  <si>
    <t>01:06,06</t>
  </si>
  <si>
    <t>01:43,43</t>
  </si>
  <si>
    <t>01:08,08</t>
  </si>
  <si>
    <t>03:29,29</t>
  </si>
  <si>
    <t>01:42,42</t>
  </si>
  <si>
    <t>01:34,34</t>
  </si>
  <si>
    <t>02:25,25</t>
  </si>
  <si>
    <t>03:38,38</t>
  </si>
  <si>
    <t>00:57,57</t>
  </si>
  <si>
    <t>01:51,51</t>
  </si>
  <si>
    <t>01:30,30</t>
  </si>
  <si>
    <t>04:44,44</t>
  </si>
  <si>
    <t>02:21,21</t>
  </si>
  <si>
    <t>01:57,57</t>
  </si>
  <si>
    <t>01:35,35</t>
  </si>
  <si>
    <t>00:51,51</t>
  </si>
  <si>
    <t>01:04,04</t>
  </si>
  <si>
    <t>01:03,03</t>
  </si>
  <si>
    <t>04:51,51</t>
  </si>
  <si>
    <t>03:11,11</t>
  </si>
  <si>
    <t>01:44,44</t>
  </si>
  <si>
    <t>02:18,18</t>
  </si>
  <si>
    <t>01:53,53</t>
  </si>
  <si>
    <t>01:38,38</t>
  </si>
  <si>
    <t>04:56,56</t>
  </si>
  <si>
    <t>03:00,00</t>
  </si>
  <si>
    <t>01:56,56</t>
  </si>
  <si>
    <t>02:53,53</t>
  </si>
  <si>
    <t>01:58,58</t>
  </si>
  <si>
    <t>02:01,01</t>
  </si>
  <si>
    <t>05:34,34</t>
  </si>
  <si>
    <t>03:04,04</t>
  </si>
  <si>
    <t>02:12,12</t>
  </si>
  <si>
    <t>02:17,17</t>
  </si>
  <si>
    <t>04:06,06</t>
  </si>
  <si>
    <t>00:09,09</t>
  </si>
  <si>
    <t>01:10,10</t>
  </si>
  <si>
    <t>00:15,15</t>
  </si>
  <si>
    <t>00:08,08</t>
  </si>
  <si>
    <t>02:20,20</t>
  </si>
  <si>
    <t>03:05,05</t>
  </si>
  <si>
    <t>02:30,30</t>
  </si>
  <si>
    <t>01:07,07</t>
  </si>
  <si>
    <t>02:45,45</t>
  </si>
  <si>
    <t>01:37,37</t>
  </si>
  <si>
    <t>01:49,49</t>
  </si>
  <si>
    <t>01:48,48</t>
  </si>
  <si>
    <t>02:24,24</t>
  </si>
  <si>
    <t>01:15,15</t>
  </si>
  <si>
    <t>02:22,22</t>
  </si>
  <si>
    <t>01:13,13</t>
  </si>
  <si>
    <t>02:55,55</t>
  </si>
  <si>
    <t>07:07,07</t>
  </si>
  <si>
    <t>05:18,18</t>
  </si>
  <si>
    <t>07:48,48</t>
  </si>
  <si>
    <t>06:12,12</t>
  </si>
  <si>
    <t>02:23,23</t>
  </si>
  <si>
    <t>02:42,42</t>
  </si>
  <si>
    <t>02:02,02</t>
  </si>
  <si>
    <t>02:28,28</t>
  </si>
  <si>
    <t>02:43,43</t>
  </si>
  <si>
    <t>02:10,10</t>
  </si>
  <si>
    <t>03:17,17</t>
  </si>
  <si>
    <t>02:49,49</t>
  </si>
  <si>
    <t>03:15,15</t>
  </si>
  <si>
    <t>02:07,07</t>
  </si>
  <si>
    <t>02:33,33</t>
  </si>
  <si>
    <t>02:03,03</t>
  </si>
  <si>
    <t>02:19,19</t>
  </si>
  <si>
    <t>01:27,27</t>
  </si>
  <si>
    <t>01:32,32</t>
  </si>
  <si>
    <t>02:52,52</t>
  </si>
  <si>
    <t>03:19,19</t>
  </si>
  <si>
    <t>02:14,14</t>
  </si>
  <si>
    <t>Question: How did you feel at that moment when the emotional event happened?</t>
  </si>
  <si>
    <t>Question: How did you feel now when talking about this emotional memory?</t>
  </si>
  <si>
    <t>Past Valence</t>
  </si>
  <si>
    <t>Present Valence</t>
  </si>
  <si>
    <t xml:space="preserve">Age </t>
  </si>
  <si>
    <t>(-100=negative;100=positive)</t>
  </si>
  <si>
    <t>(1=HM1/SM1; 2=HM2/SM2 ; 3=HM3/SM3)</t>
  </si>
  <si>
    <t>ACOUSTIC FEATURES</t>
  </si>
  <si>
    <t>FACIAL FEATURES</t>
  </si>
  <si>
    <t>LEXICAL FEATURES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</si>
</sst>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name val="Calibri"/>
      <family val="2"/>
    </font>
    <font>
      <sz val="11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54">
    <xf numFmtId="0" fontId="0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2" borderId="1"/>
    <xf numFmtId="0" fontId="4" fillId="2" borderId="1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</cellStyleXfs>
  <cellXfs count="31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2" applyFont="1"/>
    <xf numFmtId="0" fontId="0" fillId="3" borderId="0" xfId="0" applyFill="1" applyAlignment="1">
      <alignment vertical="center" wrapText="1"/>
    </xf>
    <xf numFmtId="1" fontId="0" fillId="0" borderId="0" xfId="0" applyNumberForma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/>
    <xf numFmtId="0" fontId="0" fillId="0" borderId="0" xfId="0" applyAlignment="1">
      <alignment wrapText="1"/>
    </xf>
    <xf numFmtId="0" fontId="7" fillId="0" borderId="0" xfId="0" applyFont="1" applyAlignment="1">
      <alignment horizontal="center" vertical="center" wrapText="1"/>
    </xf>
    <xf numFmtId="0" fontId="7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7" fillId="0" borderId="3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</cellXfs>
  <cellStyles count="54"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Followed Hyperlink" xfId="23" builtinId="9" hidden="1"/>
    <cellStyle name="Followed Hyperlink" xfId="25" builtinId="9" hidden="1"/>
    <cellStyle name="Followed Hyperlink" xfId="27" builtinId="9" hidden="1"/>
    <cellStyle name="Followed Hyperlink" xfId="29" builtinId="9" hidden="1"/>
    <cellStyle name="Followed Hyperlink" xfId="31" builtinId="9" hidden="1"/>
    <cellStyle name="Followed Hyperlink" xfId="33" builtinId="9" hidden="1"/>
    <cellStyle name="Followed Hyperlink" xfId="35" builtinId="9" hidden="1"/>
    <cellStyle name="Followed Hyperlink" xfId="37" builtinId="9" hidden="1"/>
    <cellStyle name="Followed Hyperlink" xfId="39" builtinId="9" hidden="1"/>
    <cellStyle name="Followed Hyperlink" xfId="41" builtinId="9" hidden="1"/>
    <cellStyle name="Followed Hyperlink" xfId="43" builtinId="9" hidden="1"/>
    <cellStyle name="Followed Hyperlink" xfId="45" builtinId="9" hidden="1"/>
    <cellStyle name="Followed Hyperlink" xfId="47" builtinId="9" hidden="1"/>
    <cellStyle name="Followed Hyperlink" xfId="49" builtinId="9" hidden="1"/>
    <cellStyle name="Followed Hyperlink" xfId="51" builtinId="9" hidden="1"/>
    <cellStyle name="Followed Hyperlink" xfId="53" builtinId="9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0" builtinId="8" hidden="1"/>
    <cellStyle name="Hyperlink" xfId="22" builtinId="8" hidden="1"/>
    <cellStyle name="Hyperlink" xfId="24" builtinId="8" hidden="1"/>
    <cellStyle name="Hyperlink" xfId="26" builtinId="8" hidden="1"/>
    <cellStyle name="Hyperlink" xfId="28" builtinId="8" hidden="1"/>
    <cellStyle name="Hyperlink" xfId="30" builtinId="8" hidden="1"/>
    <cellStyle name="Hyperlink" xfId="32" builtinId="8" hidden="1"/>
    <cellStyle name="Hyperlink" xfId="34" builtinId="8" hidden="1"/>
    <cellStyle name="Hyperlink" xfId="36" builtinId="8" hidden="1"/>
    <cellStyle name="Hyperlink" xfId="38" builtinId="8" hidden="1"/>
    <cellStyle name="Hyperlink" xfId="40" builtinId="8" hidden="1"/>
    <cellStyle name="Hyperlink" xfId="42" builtinId="8" hidden="1"/>
    <cellStyle name="Hyperlink" xfId="44" builtinId="8" hidden="1"/>
    <cellStyle name="Hyperlink" xfId="46" builtinId="8" hidden="1"/>
    <cellStyle name="Hyperlink" xfId="48" builtinId="8" hidden="1"/>
    <cellStyle name="Hyperlink" xfId="50" builtinId="8" hidden="1"/>
    <cellStyle name="Hyperlink" xfId="52" builtinId="8" hidden="1"/>
    <cellStyle name="Normal" xfId="0" builtinId="0"/>
    <cellStyle name="Normal 2" xfId="2" xr:uid="{00000000-0005-0000-0000-00002D000000}"/>
    <cellStyle name="Normal 2 2" xfId="4" xr:uid="{00000000-0005-0000-0000-00002E000000}"/>
    <cellStyle name="Normal 3" xfId="1" xr:uid="{00000000-0005-0000-0000-00002F000000}"/>
    <cellStyle name="Normal 3 2" xfId="5" xr:uid="{00000000-0005-0000-0000-000030000000}"/>
    <cellStyle name="Normal 4" xfId="3" xr:uid="{00000000-0005-0000-0000-000031000000}"/>
    <cellStyle name="Normal 4 2" xfId="6" xr:uid="{00000000-0005-0000-0000-000032000000}"/>
    <cellStyle name="Normal 5" xfId="7" xr:uid="{00000000-0005-0000-0000-000033000000}"/>
    <cellStyle name="Note 2" xfId="8" xr:uid="{00000000-0005-0000-0000-000034000000}"/>
    <cellStyle name="Note 3" xfId="9" xr:uid="{00000000-0005-0000-0000-000035000000}"/>
  </cellStyles>
  <dxfs count="4">
    <dxf>
      <fill>
        <patternFill patternType="solid">
          <fgColor indexed="64"/>
          <bgColor rgb="FFFF9F9F"/>
        </patternFill>
      </fill>
    </dxf>
    <dxf>
      <fill>
        <patternFill>
          <bgColor rgb="FFBFFCBA"/>
        </patternFill>
      </fill>
    </dxf>
    <dxf>
      <fill>
        <patternFill patternType="solid">
          <fgColor indexed="64"/>
          <bgColor rgb="FFFF9F9F"/>
        </patternFill>
      </fill>
    </dxf>
    <dxf>
      <fill>
        <patternFill>
          <bgColor rgb="FFBFFCBA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627"/>
  <sheetViews>
    <sheetView tabSelected="1" zoomScale="57" zoomScaleNormal="57" zoomScalePageLayoutView="75" workbookViewId="0">
      <selection activeCell="J2" sqref="J2"/>
    </sheetView>
  </sheetViews>
  <sheetFormatPr defaultColWidth="8.875" defaultRowHeight="15.75" x14ac:dyDescent="0.25"/>
  <cols>
    <col min="1" max="1" width="9.25" customWidth="1"/>
    <col min="2" max="2" width="13.75" customWidth="1"/>
    <col min="3" max="3" width="13.625" style="1" customWidth="1"/>
    <col min="4" max="4" width="14.375" style="1" customWidth="1"/>
    <col min="5" max="5" width="9.375" customWidth="1"/>
    <col min="6" max="6" width="8.375" customWidth="1"/>
    <col min="7" max="7" width="8.125" customWidth="1"/>
    <col min="9" max="9" width="10" customWidth="1"/>
    <col min="10" max="10" width="10.5" customWidth="1"/>
    <col min="11" max="11" width="9.875" customWidth="1"/>
    <col min="12" max="12" width="14.375" customWidth="1"/>
    <col min="13" max="13" width="12.875" customWidth="1"/>
    <col min="17" max="17" width="17.375" style="17" customWidth="1"/>
    <col min="18" max="18" width="20.5" style="21" customWidth="1"/>
    <col min="19" max="21" width="11.875" style="3" customWidth="1"/>
    <col min="22" max="22" width="13.875" style="26" customWidth="1"/>
    <col min="23" max="30" width="13.875" style="18" customWidth="1"/>
    <col min="31" max="31" width="13.875" style="21" customWidth="1"/>
    <col min="32" max="51" width="15" style="2" customWidth="1"/>
    <col min="52" max="52" width="15" style="30" customWidth="1"/>
    <col min="53" max="54" width="15" style="2" customWidth="1"/>
  </cols>
  <sheetData>
    <row r="1" spans="1:54" ht="32.25" customHeight="1" x14ac:dyDescent="0.25">
      <c r="C1" s="1" t="s">
        <v>0</v>
      </c>
      <c r="F1" t="s">
        <v>1</v>
      </c>
      <c r="I1" t="s">
        <v>305</v>
      </c>
      <c r="L1" t="s">
        <v>2</v>
      </c>
      <c r="M1" s="1" t="s">
        <v>304</v>
      </c>
      <c r="O1" s="10"/>
      <c r="P1" s="10"/>
      <c r="Q1" s="15" t="s">
        <v>308</v>
      </c>
      <c r="R1" s="19"/>
      <c r="V1" s="22" t="s">
        <v>306</v>
      </c>
      <c r="W1" s="23"/>
      <c r="X1" s="23"/>
      <c r="Y1" s="23"/>
      <c r="Z1" s="23"/>
      <c r="AA1" s="23"/>
      <c r="AB1" s="23"/>
      <c r="AC1" s="23"/>
      <c r="AD1" s="23"/>
      <c r="AE1" s="27"/>
      <c r="AF1" s="14" t="s">
        <v>307</v>
      </c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</row>
    <row r="2" spans="1:54" s="4" customFormat="1" ht="111" customHeight="1" x14ac:dyDescent="0.25">
      <c r="A2" s="4" t="s">
        <v>3</v>
      </c>
      <c r="B2" s="5" t="s">
        <v>4</v>
      </c>
      <c r="C2" s="5" t="s">
        <v>5</v>
      </c>
      <c r="D2" s="5" t="s">
        <v>303</v>
      </c>
      <c r="E2" s="5" t="s">
        <v>6</v>
      </c>
      <c r="F2" s="5" t="s">
        <v>7</v>
      </c>
      <c r="G2" s="5" t="s">
        <v>8</v>
      </c>
      <c r="H2" s="5" t="s">
        <v>9</v>
      </c>
      <c r="I2" s="5" t="s">
        <v>10</v>
      </c>
      <c r="J2" s="5" t="s">
        <v>11</v>
      </c>
      <c r="K2" s="5" t="s">
        <v>12</v>
      </c>
      <c r="L2" s="4" t="s">
        <v>13</v>
      </c>
      <c r="M2" s="5" t="s">
        <v>299</v>
      </c>
      <c r="N2" s="5" t="s">
        <v>301</v>
      </c>
      <c r="O2" s="5" t="s">
        <v>300</v>
      </c>
      <c r="P2" s="5" t="s">
        <v>302</v>
      </c>
      <c r="Q2" s="16" t="s">
        <v>14</v>
      </c>
      <c r="R2" s="20" t="s">
        <v>15</v>
      </c>
      <c r="S2" s="10" t="s">
        <v>107</v>
      </c>
      <c r="T2" s="10" t="s">
        <v>108</v>
      </c>
      <c r="U2" s="10" t="s">
        <v>109</v>
      </c>
      <c r="V2" s="24" t="s">
        <v>110</v>
      </c>
      <c r="W2" s="25" t="s">
        <v>111</v>
      </c>
      <c r="X2" s="25" t="s">
        <v>112</v>
      </c>
      <c r="Y2" s="25" t="s">
        <v>113</v>
      </c>
      <c r="Z2" s="25" t="s">
        <v>114</v>
      </c>
      <c r="AA2" s="25" t="s">
        <v>115</v>
      </c>
      <c r="AB2" s="25" t="s">
        <v>116</v>
      </c>
      <c r="AC2" s="25" t="s">
        <v>117</v>
      </c>
      <c r="AD2" s="25" t="s">
        <v>118</v>
      </c>
      <c r="AE2" s="28" t="s">
        <v>119</v>
      </c>
      <c r="AF2" s="5" t="s">
        <v>120</v>
      </c>
      <c r="AG2" s="5" t="s">
        <v>121</v>
      </c>
      <c r="AH2" s="5" t="s">
        <v>122</v>
      </c>
      <c r="AI2" s="5" t="s">
        <v>123</v>
      </c>
      <c r="AJ2" s="5" t="s">
        <v>124</v>
      </c>
      <c r="AK2" s="5" t="s">
        <v>125</v>
      </c>
      <c r="AL2" s="5" t="s">
        <v>126</v>
      </c>
      <c r="AM2" s="5" t="s">
        <v>127</v>
      </c>
      <c r="AN2" s="5" t="s">
        <v>128</v>
      </c>
      <c r="AO2" s="5" t="s">
        <v>129</v>
      </c>
      <c r="AP2" s="5" t="s">
        <v>130</v>
      </c>
      <c r="AQ2" s="5" t="s">
        <v>131</v>
      </c>
      <c r="AR2" s="5" t="s">
        <v>132</v>
      </c>
      <c r="AS2" s="5" t="s">
        <v>133</v>
      </c>
      <c r="AT2" s="5" t="s">
        <v>134</v>
      </c>
      <c r="AU2" s="5" t="s">
        <v>135</v>
      </c>
      <c r="AV2" s="5" t="s">
        <v>136</v>
      </c>
      <c r="AW2" s="5" t="s">
        <v>137</v>
      </c>
      <c r="AX2" s="5" t="s">
        <v>138</v>
      </c>
      <c r="AY2" s="5" t="s">
        <v>139</v>
      </c>
      <c r="AZ2" s="29" t="s">
        <v>140</v>
      </c>
      <c r="BA2" s="5" t="s">
        <v>141</v>
      </c>
      <c r="BB2" s="5" t="s">
        <v>142</v>
      </c>
    </row>
    <row r="3" spans="1:54" s="1" customFormat="1" ht="120.95" customHeight="1" x14ac:dyDescent="0.25">
      <c r="A3" s="2">
        <v>1</v>
      </c>
      <c r="B3" s="3">
        <v>1</v>
      </c>
      <c r="C3" s="2">
        <v>1</v>
      </c>
      <c r="D3" s="9">
        <v>70</v>
      </c>
      <c r="E3" s="3" t="s">
        <v>16</v>
      </c>
      <c r="F3" s="3">
        <f t="shared" ref="F3:F10" si="0">IF(E3="Happy", 1,2)</f>
        <v>1</v>
      </c>
      <c r="G3" s="11" t="s">
        <v>17</v>
      </c>
      <c r="H3" s="3" t="s">
        <v>17</v>
      </c>
      <c r="I3" s="3">
        <f t="shared" ref="I3:I66" si="1">IF(OR(H3="HM1",H3="SM1"),1, IF(OR(H3="HM2",H3="SM2"),2,IF(OR(H3="HM3",H3="SM3"),3 )))</f>
        <v>1</v>
      </c>
      <c r="J3" s="3" t="s">
        <v>18</v>
      </c>
      <c r="K3" s="3">
        <v>1</v>
      </c>
      <c r="L3" s="6" t="s">
        <v>143</v>
      </c>
      <c r="M3" s="3">
        <v>100</v>
      </c>
      <c r="N3" s="3">
        <f t="shared" ref="N3:N66" si="2">M3/100</f>
        <v>1</v>
      </c>
      <c r="O3" s="3">
        <v>100</v>
      </c>
      <c r="P3" s="3">
        <v>1</v>
      </c>
      <c r="Q3" s="17">
        <v>0.2475</v>
      </c>
      <c r="R3" s="21">
        <v>0.29755251637316049</v>
      </c>
      <c r="S3" s="3">
        <v>2</v>
      </c>
      <c r="T3" s="3">
        <v>16.2</v>
      </c>
      <c r="U3" s="3">
        <v>60.46</v>
      </c>
      <c r="V3" s="26">
        <v>-0.77306256693908904</v>
      </c>
      <c r="W3" s="18">
        <v>-0.86156063801072602</v>
      </c>
      <c r="X3" s="18">
        <v>-0.30346274243803401</v>
      </c>
      <c r="Y3" s="18">
        <v>-1.06065637022286</v>
      </c>
      <c r="Z3" s="18">
        <v>-0.62495035984734504</v>
      </c>
      <c r="AA3" s="18">
        <v>-0.63749307184349602</v>
      </c>
      <c r="AB3" s="18">
        <v>-0.36615295645358398</v>
      </c>
      <c r="AC3" s="18">
        <v>-0.93116498234171496</v>
      </c>
      <c r="AD3" s="18">
        <v>2.3481485246032499</v>
      </c>
      <c r="AE3" s="21">
        <v>-1.05641032784678</v>
      </c>
      <c r="AF3" s="3">
        <v>1.19295</v>
      </c>
      <c r="AG3" s="3">
        <v>0.17893999999999999</v>
      </c>
      <c r="AH3" s="3">
        <v>3.9331100000000001</v>
      </c>
      <c r="AI3" s="3">
        <v>28.820599999999999</v>
      </c>
      <c r="AJ3" s="3">
        <v>6.8959099999999995E-2</v>
      </c>
      <c r="AK3" s="3">
        <v>0.34876699999999999</v>
      </c>
      <c r="AL3" s="3">
        <v>0</v>
      </c>
      <c r="AM3" s="3">
        <v>0</v>
      </c>
      <c r="AN3" s="3">
        <v>-0.50820399999999999</v>
      </c>
      <c r="AO3" s="3">
        <v>58.400399999999998</v>
      </c>
      <c r="AP3" s="3">
        <v>0.31822699999999998</v>
      </c>
      <c r="AQ3" s="3">
        <v>-0.69518000000000002</v>
      </c>
      <c r="AR3" s="3">
        <v>40.1265</v>
      </c>
      <c r="AS3" s="3">
        <v>9.97831E-2</v>
      </c>
      <c r="AT3" s="3">
        <v>-0.27470499999999998</v>
      </c>
      <c r="AU3" s="3">
        <v>59.620399999999997</v>
      </c>
      <c r="AV3" s="3">
        <v>0.36611700000000003</v>
      </c>
      <c r="AW3" s="3">
        <v>-1.62815</v>
      </c>
      <c r="AX3" s="3">
        <v>1.2200599999999999</v>
      </c>
      <c r="AY3" s="3">
        <v>0.30118899999999998</v>
      </c>
      <c r="AZ3" s="21">
        <v>6.2781500000000001</v>
      </c>
      <c r="BA3" s="3">
        <v>44.265000000000001</v>
      </c>
      <c r="BB3" s="3">
        <v>1</v>
      </c>
    </row>
    <row r="4" spans="1:54" s="1" customFormat="1" ht="63" customHeight="1" x14ac:dyDescent="0.25">
      <c r="A4" s="2">
        <v>2</v>
      </c>
      <c r="B4" s="3">
        <v>1</v>
      </c>
      <c r="C4" s="2">
        <v>1</v>
      </c>
      <c r="D4" s="9">
        <v>70</v>
      </c>
      <c r="E4" s="3" t="s">
        <v>16</v>
      </c>
      <c r="F4" s="3">
        <f t="shared" si="0"/>
        <v>1</v>
      </c>
      <c r="G4" s="13"/>
      <c r="H4" s="3" t="s">
        <v>17</v>
      </c>
      <c r="I4" s="3">
        <f t="shared" si="1"/>
        <v>1</v>
      </c>
      <c r="J4" s="3" t="s">
        <v>19</v>
      </c>
      <c r="K4" s="3">
        <v>2</v>
      </c>
      <c r="L4" s="6" t="s">
        <v>144</v>
      </c>
      <c r="M4" s="3">
        <v>100</v>
      </c>
      <c r="N4" s="3">
        <f t="shared" si="2"/>
        <v>1</v>
      </c>
      <c r="O4" s="3">
        <v>100</v>
      </c>
      <c r="P4" s="3">
        <v>1</v>
      </c>
      <c r="Q4" s="17">
        <v>0.125</v>
      </c>
      <c r="R4" s="21">
        <v>0</v>
      </c>
      <c r="S4" s="3">
        <v>4</v>
      </c>
      <c r="T4" s="3">
        <v>61.61</v>
      </c>
      <c r="U4" s="3">
        <v>83.32</v>
      </c>
      <c r="V4" s="26">
        <v>-1.2465847756544099</v>
      </c>
      <c r="W4" s="18">
        <v>-1.06972151622026</v>
      </c>
      <c r="X4" s="18">
        <v>-0.33146943318052302</v>
      </c>
      <c r="Y4" s="18">
        <v>-1.0079918052521</v>
      </c>
      <c r="Z4" s="18">
        <v>-1.04702745236259</v>
      </c>
      <c r="AA4" s="18">
        <v>-0.86223325753747804</v>
      </c>
      <c r="AB4" s="18">
        <v>-1.6197404476830499</v>
      </c>
      <c r="AC4" s="18">
        <v>1.0786477620966699</v>
      </c>
      <c r="AD4" s="18">
        <v>0.51179533221138196</v>
      </c>
      <c r="AE4" s="21">
        <v>-0.63667625657256499</v>
      </c>
      <c r="AF4" s="3">
        <v>0</v>
      </c>
      <c r="AG4" s="3">
        <v>0.36481200000000003</v>
      </c>
      <c r="AH4" s="3">
        <v>9.94839E-2</v>
      </c>
      <c r="AI4" s="3">
        <v>9.6310000000000002</v>
      </c>
      <c r="AJ4" s="3">
        <v>0.10582999999999999</v>
      </c>
      <c r="AK4" s="3">
        <v>0.402727</v>
      </c>
      <c r="AL4" s="3">
        <v>0</v>
      </c>
      <c r="AM4" s="3">
        <v>0</v>
      </c>
      <c r="AN4" s="3">
        <v>-0.50820399999999999</v>
      </c>
      <c r="AO4" s="3">
        <v>54.298900000000003</v>
      </c>
      <c r="AP4" s="3">
        <v>0.50642399999999999</v>
      </c>
      <c r="AQ4" s="3">
        <v>0.22511200000000001</v>
      </c>
      <c r="AR4" s="3">
        <v>48.376399999999997</v>
      </c>
      <c r="AS4" s="3">
        <v>0.40143499999999999</v>
      </c>
      <c r="AT4" s="3">
        <v>0.38327800000000001</v>
      </c>
      <c r="AU4" s="3">
        <v>59.557200000000002</v>
      </c>
      <c r="AV4" s="3">
        <v>0.68708999999999998</v>
      </c>
      <c r="AW4" s="3">
        <v>-0.151696</v>
      </c>
      <c r="AX4" s="3">
        <v>0</v>
      </c>
      <c r="AY4" s="3">
        <v>0.164323</v>
      </c>
      <c r="AZ4" s="21">
        <v>-0.56221600000000005</v>
      </c>
      <c r="BA4" s="3">
        <v>21.706</v>
      </c>
      <c r="BB4" s="3">
        <v>2</v>
      </c>
    </row>
    <row r="5" spans="1:54" s="1" customFormat="1" ht="47.25" customHeight="1" x14ac:dyDescent="0.25">
      <c r="A5" s="2">
        <v>3</v>
      </c>
      <c r="B5" s="3">
        <v>1</v>
      </c>
      <c r="C5" s="2">
        <v>1</v>
      </c>
      <c r="D5" s="9">
        <v>70</v>
      </c>
      <c r="E5" s="3" t="s">
        <v>16</v>
      </c>
      <c r="F5" s="3">
        <f t="shared" si="0"/>
        <v>1</v>
      </c>
      <c r="G5" s="13"/>
      <c r="H5" s="3" t="s">
        <v>17</v>
      </c>
      <c r="I5" s="3">
        <f t="shared" si="1"/>
        <v>1</v>
      </c>
      <c r="J5" s="3" t="s">
        <v>20</v>
      </c>
      <c r="K5" s="3">
        <v>3</v>
      </c>
      <c r="L5" s="6" t="s">
        <v>145</v>
      </c>
      <c r="M5" s="3">
        <v>100</v>
      </c>
      <c r="N5" s="3">
        <f t="shared" si="2"/>
        <v>1</v>
      </c>
      <c r="O5" s="3">
        <v>100</v>
      </c>
      <c r="P5" s="3">
        <v>1</v>
      </c>
      <c r="Q5" s="17">
        <v>0.14000000000000001</v>
      </c>
      <c r="R5" s="21">
        <v>0</v>
      </c>
      <c r="S5" s="3">
        <v>5</v>
      </c>
      <c r="T5" s="3">
        <v>83.32</v>
      </c>
      <c r="U5" s="3">
        <v>93.22</v>
      </c>
      <c r="V5" s="26">
        <v>-1.39911560739943</v>
      </c>
      <c r="W5" s="18">
        <v>-1.4059508224199599</v>
      </c>
      <c r="X5" s="18">
        <v>-0.63715202036959595</v>
      </c>
      <c r="Y5" s="18">
        <v>-2.26506871604228</v>
      </c>
      <c r="Z5" s="18">
        <v>-0.94811575745267196</v>
      </c>
      <c r="AA5" s="18">
        <v>-0.58974000220812295</v>
      </c>
      <c r="AB5" s="18">
        <v>-1.51745212908002</v>
      </c>
      <c r="AC5" s="18">
        <v>2.2995224049546001</v>
      </c>
      <c r="AD5" s="18">
        <v>-1.4923353584357499</v>
      </c>
      <c r="AE5" s="21">
        <v>-0.23800411002178401</v>
      </c>
      <c r="AF5" s="3">
        <v>0</v>
      </c>
      <c r="AG5" s="3">
        <v>0.17574600000000001</v>
      </c>
      <c r="AH5" s="3">
        <v>-0.44364399999999998</v>
      </c>
      <c r="AI5" s="3">
        <v>42.024299999999997</v>
      </c>
      <c r="AJ5" s="3">
        <v>0.33086399999999999</v>
      </c>
      <c r="AK5" s="3">
        <v>2.03118</v>
      </c>
      <c r="AL5" s="3">
        <v>0</v>
      </c>
      <c r="AM5" s="3">
        <v>0.17030899999999999</v>
      </c>
      <c r="AN5" s="3">
        <v>0.102227</v>
      </c>
      <c r="AO5" s="3">
        <v>57.570900000000002</v>
      </c>
      <c r="AP5" s="3">
        <v>0.25421300000000002</v>
      </c>
      <c r="AQ5" s="3">
        <v>0.23798900000000001</v>
      </c>
      <c r="AR5" s="3">
        <v>46.761099999999999</v>
      </c>
      <c r="AS5" s="3">
        <v>4.59619E-2</v>
      </c>
      <c r="AT5" s="3">
        <v>-0.30134699999999998</v>
      </c>
      <c r="AU5" s="3">
        <v>60</v>
      </c>
      <c r="AV5" s="3">
        <v>0.439913</v>
      </c>
      <c r="AW5" s="3">
        <v>-6.2219200000000002E-2</v>
      </c>
      <c r="AX5" s="3">
        <v>0</v>
      </c>
      <c r="AY5" s="3">
        <v>0.15562200000000001</v>
      </c>
      <c r="AZ5" s="21">
        <v>-0.48453499999999999</v>
      </c>
      <c r="BA5" s="3">
        <v>9.9030000000000005</v>
      </c>
      <c r="BB5" s="3">
        <v>3</v>
      </c>
    </row>
    <row r="6" spans="1:54" s="1" customFormat="1" ht="78.75" customHeight="1" x14ac:dyDescent="0.25">
      <c r="A6" s="2">
        <v>4</v>
      </c>
      <c r="B6" s="3">
        <v>1</v>
      </c>
      <c r="C6" s="2">
        <v>1</v>
      </c>
      <c r="D6" s="9">
        <v>70</v>
      </c>
      <c r="E6" s="3" t="s">
        <v>16</v>
      </c>
      <c r="F6" s="3">
        <f t="shared" si="0"/>
        <v>1</v>
      </c>
      <c r="G6" s="13"/>
      <c r="H6" s="3" t="s">
        <v>17</v>
      </c>
      <c r="I6" s="3">
        <f t="shared" si="1"/>
        <v>1</v>
      </c>
      <c r="J6" s="3" t="s">
        <v>21</v>
      </c>
      <c r="K6" s="3">
        <v>4</v>
      </c>
      <c r="L6" s="6" t="s">
        <v>146</v>
      </c>
      <c r="M6" s="3">
        <v>100</v>
      </c>
      <c r="N6" s="3">
        <f t="shared" si="2"/>
        <v>1</v>
      </c>
      <c r="O6" s="3">
        <v>100</v>
      </c>
      <c r="P6" s="3">
        <v>1</v>
      </c>
      <c r="Q6" s="17">
        <v>6.5625000000000003E-2</v>
      </c>
      <c r="R6" s="21">
        <v>0.1193242693252299</v>
      </c>
      <c r="S6" s="3">
        <v>7</v>
      </c>
      <c r="T6" s="3">
        <v>94.33</v>
      </c>
      <c r="U6" s="3">
        <v>110.12</v>
      </c>
      <c r="V6" s="26">
        <v>0.40619525116087701</v>
      </c>
      <c r="W6" s="18">
        <v>-0.54878157825552598</v>
      </c>
      <c r="X6" s="18">
        <v>7.9492607162914897E-2</v>
      </c>
      <c r="Y6" s="18">
        <v>-0.50860508726696296</v>
      </c>
      <c r="Z6" s="18">
        <v>1.05770261575554</v>
      </c>
      <c r="AA6" s="18">
        <v>0.80940038640154999</v>
      </c>
      <c r="AB6" s="18">
        <v>-2.1795332423866398</v>
      </c>
      <c r="AC6" s="18">
        <v>0.23103415654562501</v>
      </c>
      <c r="AD6" s="18">
        <v>-0.15055343374675301</v>
      </c>
      <c r="AE6" s="21">
        <v>0.91889732657274603</v>
      </c>
      <c r="AF6" s="3">
        <v>0</v>
      </c>
      <c r="AG6" s="3">
        <v>0.33232</v>
      </c>
      <c r="AH6" s="3">
        <v>-5.9119499999999998E-2</v>
      </c>
      <c r="AI6" s="3">
        <v>7.2243300000000001</v>
      </c>
      <c r="AJ6" s="3">
        <v>6.3630900000000004E-2</v>
      </c>
      <c r="AK6" s="3">
        <v>0.26008500000000001</v>
      </c>
      <c r="AL6" s="3">
        <v>0</v>
      </c>
      <c r="AM6" s="3">
        <v>4.83046E-3</v>
      </c>
      <c r="AN6" s="3">
        <v>-0.49595099999999998</v>
      </c>
      <c r="AO6" s="3">
        <v>53.688200000000002</v>
      </c>
      <c r="AP6" s="3">
        <v>0.18675</v>
      </c>
      <c r="AQ6" s="3">
        <v>0.15645700000000001</v>
      </c>
      <c r="AR6" s="3">
        <v>57.566499999999998</v>
      </c>
      <c r="AS6" s="3">
        <v>0.123567</v>
      </c>
      <c r="AT6" s="3">
        <v>9.2991699999999997E-2</v>
      </c>
      <c r="AU6" s="3">
        <v>60</v>
      </c>
      <c r="AV6" s="3">
        <v>0.71902299999999997</v>
      </c>
      <c r="AW6" s="3">
        <v>0.106573</v>
      </c>
      <c r="AX6" s="3">
        <v>0</v>
      </c>
      <c r="AY6" s="3">
        <v>5.4802200000000002E-2</v>
      </c>
      <c r="AZ6" s="21">
        <v>-0.65068800000000004</v>
      </c>
      <c r="BA6" s="3">
        <v>15.795999999999999</v>
      </c>
      <c r="BB6" s="3">
        <v>4</v>
      </c>
    </row>
    <row r="7" spans="1:54" s="1" customFormat="1" ht="57" customHeight="1" x14ac:dyDescent="0.25">
      <c r="A7" s="2">
        <v>5</v>
      </c>
      <c r="B7" s="3">
        <v>1</v>
      </c>
      <c r="C7" s="2">
        <v>1</v>
      </c>
      <c r="D7" s="9">
        <v>70</v>
      </c>
      <c r="E7" s="3" t="s">
        <v>16</v>
      </c>
      <c r="F7" s="3">
        <f t="shared" si="0"/>
        <v>1</v>
      </c>
      <c r="G7" s="13"/>
      <c r="H7" s="3" t="s">
        <v>17</v>
      </c>
      <c r="I7" s="3">
        <f t="shared" si="1"/>
        <v>1</v>
      </c>
      <c r="J7" s="3" t="s">
        <v>22</v>
      </c>
      <c r="K7" s="3">
        <v>5</v>
      </c>
      <c r="L7" s="6" t="s">
        <v>147</v>
      </c>
      <c r="M7" s="3">
        <v>100</v>
      </c>
      <c r="N7" s="3">
        <f t="shared" si="2"/>
        <v>1</v>
      </c>
      <c r="O7" s="3">
        <v>100</v>
      </c>
      <c r="P7" s="3">
        <v>1</v>
      </c>
      <c r="Q7" s="17">
        <v>0.35249999999999998</v>
      </c>
      <c r="R7" s="21">
        <v>0</v>
      </c>
      <c r="S7" s="3">
        <v>11</v>
      </c>
      <c r="T7" s="3">
        <v>126.19</v>
      </c>
      <c r="U7" s="3">
        <v>147.04</v>
      </c>
      <c r="V7" s="26">
        <v>-1.28585653460793</v>
      </c>
      <c r="W7" s="18">
        <v>-0.62472016295315602</v>
      </c>
      <c r="X7" s="18">
        <v>-0.33798112265334701</v>
      </c>
      <c r="Y7" s="18">
        <v>-0.62080686571638299</v>
      </c>
      <c r="Z7" s="18">
        <v>-0.99451307525172306</v>
      </c>
      <c r="AA7" s="18">
        <v>-0.96375456496280798</v>
      </c>
      <c r="AB7" s="18">
        <v>-1.60868874443997</v>
      </c>
      <c r="AC7" s="18">
        <v>-0.75054340084188798</v>
      </c>
      <c r="AD7" s="18">
        <v>-0.57372070088667204</v>
      </c>
      <c r="AE7" s="21">
        <v>-0.46517201239600198</v>
      </c>
      <c r="AF7" s="3">
        <v>0.51873199999999997</v>
      </c>
      <c r="AG7" s="3">
        <v>4.6308099999999998E-2</v>
      </c>
      <c r="AH7" s="3">
        <v>3.3435999999999999</v>
      </c>
      <c r="AI7" s="3">
        <v>3.5158499999999999</v>
      </c>
      <c r="AJ7" s="3">
        <v>4.8623899999999998E-2</v>
      </c>
      <c r="AK7" s="3">
        <v>0.247886</v>
      </c>
      <c r="AL7" s="3">
        <v>0</v>
      </c>
      <c r="AM7" s="3">
        <v>5.9221099999999999E-2</v>
      </c>
      <c r="AN7" s="3">
        <v>0.87017900000000004</v>
      </c>
      <c r="AO7" s="3">
        <v>50.720500000000001</v>
      </c>
      <c r="AP7" s="3">
        <v>0.57531500000000002</v>
      </c>
      <c r="AQ7" s="3">
        <v>0.294433</v>
      </c>
      <c r="AR7" s="3">
        <v>47.780999999999999</v>
      </c>
      <c r="AS7" s="3">
        <v>0.190197</v>
      </c>
      <c r="AT7" s="3">
        <v>8.6364200000000002E-2</v>
      </c>
      <c r="AU7" s="3">
        <v>58.7896</v>
      </c>
      <c r="AV7" s="3">
        <v>0.58711599999999997</v>
      </c>
      <c r="AW7" s="3">
        <v>-0.28023799999999999</v>
      </c>
      <c r="AX7" s="3">
        <v>0</v>
      </c>
      <c r="AY7" s="3">
        <v>0.177063</v>
      </c>
      <c r="AZ7" s="21">
        <v>-0.48779499999999998</v>
      </c>
      <c r="BA7" s="3">
        <v>20.85</v>
      </c>
      <c r="BB7" s="3">
        <v>5</v>
      </c>
    </row>
    <row r="8" spans="1:54" s="1" customFormat="1" ht="77.099999999999994" customHeight="1" x14ac:dyDescent="0.25">
      <c r="A8" s="2">
        <v>6</v>
      </c>
      <c r="B8" s="3">
        <v>1</v>
      </c>
      <c r="C8" s="2">
        <v>1</v>
      </c>
      <c r="D8" s="9">
        <v>70</v>
      </c>
      <c r="E8" s="3" t="s">
        <v>16</v>
      </c>
      <c r="F8" s="3">
        <f t="shared" si="0"/>
        <v>1</v>
      </c>
      <c r="G8" s="13"/>
      <c r="H8" s="3" t="s">
        <v>17</v>
      </c>
      <c r="I8" s="3">
        <f t="shared" si="1"/>
        <v>1</v>
      </c>
      <c r="J8" s="3" t="s">
        <v>23</v>
      </c>
      <c r="K8" s="3">
        <v>6</v>
      </c>
      <c r="L8" s="6" t="s">
        <v>148</v>
      </c>
      <c r="M8" s="3">
        <v>100</v>
      </c>
      <c r="N8" s="3">
        <f t="shared" si="2"/>
        <v>1</v>
      </c>
      <c r="O8" s="3">
        <v>100</v>
      </c>
      <c r="P8" s="3">
        <v>1</v>
      </c>
      <c r="Q8" s="17">
        <v>-8.0952380952380956E-2</v>
      </c>
      <c r="R8" s="21">
        <v>0.1380541810888021</v>
      </c>
      <c r="S8" s="3">
        <v>13</v>
      </c>
      <c r="T8" s="3">
        <v>153.83000000000001</v>
      </c>
      <c r="U8" s="3">
        <v>179.01</v>
      </c>
      <c r="V8" s="26">
        <v>-0.90170732884440996</v>
      </c>
      <c r="W8" s="18">
        <v>-0.76226532729310503</v>
      </c>
      <c r="X8" s="18">
        <v>0.14208193821419701</v>
      </c>
      <c r="Y8" s="18">
        <v>-1.2977241333609999</v>
      </c>
      <c r="Z8" s="18">
        <v>1.21466866602098</v>
      </c>
      <c r="AA8" s="18">
        <v>1.0585695203151699</v>
      </c>
      <c r="AB8" s="18">
        <v>-0.55529324728208296</v>
      </c>
      <c r="AC8" s="18">
        <v>0.19957560321199699</v>
      </c>
      <c r="AD8" s="18">
        <v>-1.1191070855545799</v>
      </c>
      <c r="AE8" s="21">
        <v>0.58190653099774603</v>
      </c>
      <c r="AF8" s="3">
        <v>0</v>
      </c>
      <c r="AG8" s="3">
        <v>0.35342299999999999</v>
      </c>
      <c r="AH8" s="3">
        <v>2.3212199999999999E-2</v>
      </c>
      <c r="AI8" s="3">
        <v>18.123999999999999</v>
      </c>
      <c r="AJ8" s="3">
        <v>0.116325</v>
      </c>
      <c r="AK8" s="3">
        <v>0.44268600000000002</v>
      </c>
      <c r="AL8" s="3">
        <v>0</v>
      </c>
      <c r="AM8" s="3">
        <v>0</v>
      </c>
      <c r="AN8" s="3">
        <v>-0.50820399999999999</v>
      </c>
      <c r="AO8" s="3">
        <v>53.990499999999997</v>
      </c>
      <c r="AP8" s="3">
        <v>0.34167599999999998</v>
      </c>
      <c r="AQ8" s="3">
        <v>9.6163299999999993E-2</v>
      </c>
      <c r="AR8" s="3">
        <v>42.496000000000002</v>
      </c>
      <c r="AS8" s="3">
        <v>0.22239</v>
      </c>
      <c r="AT8" s="3">
        <v>0.30904999999999999</v>
      </c>
      <c r="AU8" s="3">
        <v>59.332299999999996</v>
      </c>
      <c r="AV8" s="3">
        <v>0.494892</v>
      </c>
      <c r="AW8" s="3">
        <v>-0.166773</v>
      </c>
      <c r="AX8" s="3">
        <v>0</v>
      </c>
      <c r="AY8" s="3">
        <v>0.27363199999999999</v>
      </c>
      <c r="AZ8" s="21">
        <v>-0.26677499999999998</v>
      </c>
      <c r="BA8" s="3">
        <v>25.18</v>
      </c>
      <c r="BB8" s="3">
        <v>6</v>
      </c>
    </row>
    <row r="9" spans="1:54" s="1" customFormat="1" ht="108" customHeight="1" x14ac:dyDescent="0.25">
      <c r="A9" s="2">
        <v>7</v>
      </c>
      <c r="B9" s="3">
        <v>1</v>
      </c>
      <c r="C9" s="2">
        <v>1</v>
      </c>
      <c r="D9" s="9">
        <v>70</v>
      </c>
      <c r="E9" s="3" t="s">
        <v>16</v>
      </c>
      <c r="F9" s="3">
        <f t="shared" si="0"/>
        <v>1</v>
      </c>
      <c r="G9" s="13"/>
      <c r="H9" s="3" t="s">
        <v>17</v>
      </c>
      <c r="I9" s="3">
        <f t="shared" si="1"/>
        <v>1</v>
      </c>
      <c r="J9" s="3" t="s">
        <v>24</v>
      </c>
      <c r="K9" s="3">
        <v>7</v>
      </c>
      <c r="L9" s="6" t="s">
        <v>149</v>
      </c>
      <c r="M9" s="3">
        <v>100</v>
      </c>
      <c r="N9" s="3">
        <f t="shared" si="2"/>
        <v>1</v>
      </c>
      <c r="O9" s="3">
        <v>100</v>
      </c>
      <c r="P9" s="3">
        <v>1</v>
      </c>
      <c r="Q9" s="17">
        <v>-0.1122222222222222</v>
      </c>
      <c r="R9" s="21">
        <v>0</v>
      </c>
      <c r="S9" s="3">
        <v>15</v>
      </c>
      <c r="T9" s="3">
        <v>182.34</v>
      </c>
      <c r="U9" s="3">
        <v>223.91</v>
      </c>
      <c r="V9" s="26">
        <v>-0.91598796846386998</v>
      </c>
      <c r="W9" s="18">
        <v>-0.51838744029157302</v>
      </c>
      <c r="X9" s="18">
        <v>-7.1684617760832403E-2</v>
      </c>
      <c r="Y9" s="18">
        <v>-0.94312635866055705</v>
      </c>
      <c r="Z9" s="18">
        <v>1.68152724934725</v>
      </c>
      <c r="AA9" s="18">
        <v>1.2930690094436299</v>
      </c>
      <c r="AB9" s="18">
        <v>-1.6200407657059599</v>
      </c>
      <c r="AC9" s="18">
        <v>0.14125356613279499</v>
      </c>
      <c r="AD9" s="18">
        <v>-0.184284157939065</v>
      </c>
      <c r="AE9" s="21">
        <v>-1.1752597602147501</v>
      </c>
      <c r="AF9" s="3">
        <v>0.49085699999999999</v>
      </c>
      <c r="AG9" s="3">
        <v>0.17933199999999999</v>
      </c>
      <c r="AH9" s="3">
        <v>4.0024300000000004</v>
      </c>
      <c r="AI9" s="3">
        <v>14.0327</v>
      </c>
      <c r="AJ9" s="3">
        <v>8.7831000000000006E-2</v>
      </c>
      <c r="AK9" s="3">
        <v>0.33033400000000002</v>
      </c>
      <c r="AL9" s="3">
        <v>0</v>
      </c>
      <c r="AM9" s="3">
        <v>0</v>
      </c>
      <c r="AN9" s="3">
        <v>-0.50820399999999999</v>
      </c>
      <c r="AO9" s="3">
        <v>49.23</v>
      </c>
      <c r="AP9" s="3">
        <v>0.259212</v>
      </c>
      <c r="AQ9" s="3">
        <v>-0.52471299999999998</v>
      </c>
      <c r="AR9" s="3">
        <v>48.017299999999999</v>
      </c>
      <c r="AS9" s="3">
        <v>0.18448899999999999</v>
      </c>
      <c r="AT9" s="3">
        <v>0.26407399999999998</v>
      </c>
      <c r="AU9" s="3">
        <v>56.766100000000002</v>
      </c>
      <c r="AV9" s="3">
        <v>0.54655799999999999</v>
      </c>
      <c r="AW9" s="3">
        <v>-0.199929</v>
      </c>
      <c r="AX9" s="3">
        <v>0</v>
      </c>
      <c r="AY9" s="3">
        <v>0.27781499999999998</v>
      </c>
      <c r="AZ9" s="21">
        <v>-0.30618299999999998</v>
      </c>
      <c r="BA9" s="3">
        <v>41.57</v>
      </c>
      <c r="BB9" s="3">
        <v>7</v>
      </c>
    </row>
    <row r="10" spans="1:54" s="1" customFormat="1" ht="72.95" customHeight="1" x14ac:dyDescent="0.25">
      <c r="A10" s="2">
        <v>8</v>
      </c>
      <c r="B10" s="3">
        <v>1</v>
      </c>
      <c r="C10" s="2">
        <v>1</v>
      </c>
      <c r="D10" s="9">
        <v>70</v>
      </c>
      <c r="E10" s="3" t="s">
        <v>16</v>
      </c>
      <c r="F10" s="3">
        <f t="shared" si="0"/>
        <v>1</v>
      </c>
      <c r="G10" s="13"/>
      <c r="H10" s="3" t="s">
        <v>17</v>
      </c>
      <c r="I10" s="3">
        <f t="shared" si="1"/>
        <v>1</v>
      </c>
      <c r="J10" s="3" t="s">
        <v>25</v>
      </c>
      <c r="K10" s="3">
        <v>8</v>
      </c>
      <c r="L10" s="6" t="s">
        <v>150</v>
      </c>
      <c r="M10" s="3">
        <v>100</v>
      </c>
      <c r="N10" s="3">
        <f t="shared" si="2"/>
        <v>1</v>
      </c>
      <c r="O10" s="3">
        <v>100</v>
      </c>
      <c r="P10" s="3">
        <v>1</v>
      </c>
      <c r="Q10" s="17">
        <v>0.7</v>
      </c>
      <c r="R10" s="21">
        <v>0</v>
      </c>
      <c r="S10" s="3">
        <v>17</v>
      </c>
      <c r="T10" s="3">
        <v>226.12</v>
      </c>
      <c r="U10" s="3">
        <v>238.66</v>
      </c>
      <c r="V10" s="26">
        <v>-0.86688976939124496</v>
      </c>
      <c r="W10" s="18">
        <v>-0.92592607017592798</v>
      </c>
      <c r="X10" s="18">
        <v>-0.17925869175327699</v>
      </c>
      <c r="Y10" s="18">
        <v>-1.3602729568599901</v>
      </c>
      <c r="Z10" s="18">
        <v>1.77478354979907</v>
      </c>
      <c r="AA10" s="18">
        <v>1.5425143500582199</v>
      </c>
      <c r="AB10" s="18">
        <v>0.80052249894582805</v>
      </c>
      <c r="AC10" s="18">
        <v>0.70680059235534598</v>
      </c>
      <c r="AD10" s="18">
        <v>1.3038102587010001</v>
      </c>
      <c r="AE10" s="21">
        <v>-1.1963216849381899</v>
      </c>
      <c r="AF10" s="3">
        <v>0</v>
      </c>
      <c r="AG10" s="3">
        <v>0.22955700000000001</v>
      </c>
      <c r="AH10" s="3">
        <v>-0.38624000000000003</v>
      </c>
      <c r="AI10" s="3">
        <v>21.182099999999998</v>
      </c>
      <c r="AJ10" s="3">
        <v>0.15987299999999999</v>
      </c>
      <c r="AK10" s="3">
        <v>0.49509799999999998</v>
      </c>
      <c r="AL10" s="3">
        <v>0</v>
      </c>
      <c r="AM10" s="3">
        <v>0</v>
      </c>
      <c r="AN10" s="3">
        <v>-0.50820399999999999</v>
      </c>
      <c r="AO10" s="3">
        <v>54.536700000000003</v>
      </c>
      <c r="AP10" s="3">
        <v>0.21579100000000001</v>
      </c>
      <c r="AQ10" s="3">
        <v>-1.0008999999999999</v>
      </c>
      <c r="AR10" s="3">
        <v>54.728400000000001</v>
      </c>
      <c r="AS10" s="3">
        <v>0.42536600000000002</v>
      </c>
      <c r="AT10" s="3">
        <v>0.87525600000000003</v>
      </c>
      <c r="AU10" s="3">
        <v>59.233199999999997</v>
      </c>
      <c r="AV10" s="3">
        <v>0.62056900000000004</v>
      </c>
      <c r="AW10" s="3">
        <v>1.3691199999999999</v>
      </c>
      <c r="AX10" s="3">
        <v>0</v>
      </c>
      <c r="AY10" s="3">
        <v>0.29626000000000002</v>
      </c>
      <c r="AZ10" s="21">
        <v>-0.40706999999999999</v>
      </c>
      <c r="BA10" s="3">
        <v>12.54</v>
      </c>
      <c r="BB10" s="3">
        <v>8</v>
      </c>
    </row>
    <row r="11" spans="1:54" s="1" customFormat="1" ht="42.95" customHeight="1" x14ac:dyDescent="0.25">
      <c r="A11" s="2">
        <v>9</v>
      </c>
      <c r="B11" s="3">
        <v>1</v>
      </c>
      <c r="C11" s="2">
        <v>1</v>
      </c>
      <c r="D11" s="9">
        <v>70</v>
      </c>
      <c r="E11" s="3" t="s">
        <v>16</v>
      </c>
      <c r="F11" s="3">
        <f>IF(E22="Happy", 1,2)</f>
        <v>1</v>
      </c>
      <c r="G11" s="11" t="s">
        <v>26</v>
      </c>
      <c r="H11" s="3" t="s">
        <v>26</v>
      </c>
      <c r="I11" s="3">
        <f t="shared" si="1"/>
        <v>2</v>
      </c>
      <c r="J11" s="3" t="s">
        <v>27</v>
      </c>
      <c r="K11" s="3">
        <v>1</v>
      </c>
      <c r="L11" s="6" t="s">
        <v>151</v>
      </c>
      <c r="M11" s="3">
        <v>-60</v>
      </c>
      <c r="N11" s="3">
        <f t="shared" si="2"/>
        <v>-0.6</v>
      </c>
      <c r="O11" s="3">
        <v>68</v>
      </c>
      <c r="P11" s="3">
        <v>0.68</v>
      </c>
      <c r="Q11" s="17">
        <v>-0.2</v>
      </c>
      <c r="R11" s="21">
        <v>0</v>
      </c>
      <c r="S11" s="3">
        <v>2</v>
      </c>
      <c r="T11" s="3">
        <v>24.04</v>
      </c>
      <c r="U11" s="3">
        <v>41.97</v>
      </c>
      <c r="V11" s="26">
        <v>-0.775153660597655</v>
      </c>
      <c r="W11" s="18">
        <v>0.30297127465635298</v>
      </c>
      <c r="X11" s="18">
        <v>-0.126297664708685</v>
      </c>
      <c r="Y11" s="18">
        <v>-0.96019214877571502</v>
      </c>
      <c r="Z11" s="18">
        <v>-1.11870092090291</v>
      </c>
      <c r="AA11" s="18">
        <v>-0.91044667167447701</v>
      </c>
      <c r="AB11" s="18">
        <v>-0.51366916930680395</v>
      </c>
      <c r="AC11" s="18">
        <v>-1.0251871754512101</v>
      </c>
      <c r="AD11" s="18">
        <v>-0.260068772033481</v>
      </c>
      <c r="AE11" s="21">
        <v>1.0783661851930599</v>
      </c>
      <c r="AF11" s="3">
        <v>4.5535699999999997</v>
      </c>
      <c r="AG11" s="3">
        <v>0.180009</v>
      </c>
      <c r="AH11" s="3">
        <v>3.6445500000000002</v>
      </c>
      <c r="AI11" s="3">
        <v>1.20536</v>
      </c>
      <c r="AJ11" s="3">
        <v>3.09089E-2</v>
      </c>
      <c r="AK11" s="3">
        <v>0.41528700000000002</v>
      </c>
      <c r="AL11" s="3">
        <v>0</v>
      </c>
      <c r="AM11" s="3">
        <v>3.8149099999999998E-2</v>
      </c>
      <c r="AN11" s="3">
        <v>1.6279600000000001</v>
      </c>
      <c r="AO11" s="3">
        <v>57.053600000000003</v>
      </c>
      <c r="AP11" s="3">
        <v>0.20993200000000001</v>
      </c>
      <c r="AQ11" s="3">
        <v>-0.34806900000000002</v>
      </c>
      <c r="AR11" s="3">
        <v>13.258900000000001</v>
      </c>
      <c r="AS11" s="3">
        <v>4.1633299999999998E-2</v>
      </c>
      <c r="AT11" s="3">
        <v>0.35631400000000002</v>
      </c>
      <c r="AU11" s="3">
        <v>58.9955</v>
      </c>
      <c r="AV11" s="3">
        <v>0.32833000000000001</v>
      </c>
      <c r="AW11" s="3">
        <v>-0.88117000000000001</v>
      </c>
      <c r="AX11" s="3">
        <v>1.0714300000000001</v>
      </c>
      <c r="AY11" s="3">
        <v>0.47143600000000002</v>
      </c>
      <c r="AZ11" s="21">
        <v>6.5940599999999998</v>
      </c>
      <c r="BA11" s="3">
        <v>17.93</v>
      </c>
      <c r="BB11" s="3">
        <v>1</v>
      </c>
    </row>
    <row r="12" spans="1:54" s="1" customFormat="1" ht="95.1" customHeight="1" x14ac:dyDescent="0.25">
      <c r="A12" s="2">
        <v>10</v>
      </c>
      <c r="B12" s="3">
        <v>1</v>
      </c>
      <c r="C12" s="2">
        <v>1</v>
      </c>
      <c r="D12" s="9">
        <v>70</v>
      </c>
      <c r="E12" s="3" t="s">
        <v>16</v>
      </c>
      <c r="F12" s="3">
        <f>IF(E23="Happy", 1,2)</f>
        <v>1</v>
      </c>
      <c r="G12" s="13"/>
      <c r="H12" s="3" t="s">
        <v>26</v>
      </c>
      <c r="I12" s="3">
        <f t="shared" si="1"/>
        <v>2</v>
      </c>
      <c r="J12" s="3" t="s">
        <v>28</v>
      </c>
      <c r="K12" s="3">
        <v>2</v>
      </c>
      <c r="L12" s="6" t="s">
        <v>152</v>
      </c>
      <c r="M12" s="3">
        <v>-60</v>
      </c>
      <c r="N12" s="3">
        <f t="shared" si="2"/>
        <v>-0.6</v>
      </c>
      <c r="O12" s="3">
        <v>68</v>
      </c>
      <c r="P12" s="3">
        <v>0.68</v>
      </c>
      <c r="Q12" s="17">
        <v>6.8750000000000006E-2</v>
      </c>
      <c r="R12" s="21">
        <v>9.7227182413150287E-2</v>
      </c>
      <c r="S12" s="3">
        <v>4</v>
      </c>
      <c r="T12" s="3">
        <v>43.26</v>
      </c>
      <c r="U12" s="3">
        <v>66.92</v>
      </c>
      <c r="V12" s="26">
        <v>-0.51954721217073896</v>
      </c>
      <c r="W12" s="18">
        <v>0.79155314574253899</v>
      </c>
      <c r="X12" s="18">
        <v>-0.24207293313174599</v>
      </c>
      <c r="Y12" s="18">
        <v>-0.20396915059595999</v>
      </c>
      <c r="Z12" s="18">
        <v>-2.2329290453607098</v>
      </c>
      <c r="AA12" s="18">
        <v>-2.5118010550318801</v>
      </c>
      <c r="AB12" s="18">
        <v>1.88695297862378</v>
      </c>
      <c r="AC12" s="18">
        <v>1.04612880808888</v>
      </c>
      <c r="AD12" s="18">
        <v>-1.0809957478308001</v>
      </c>
      <c r="AE12" s="21">
        <v>1.56429487702665</v>
      </c>
      <c r="AF12" s="3">
        <v>0.60913700000000004</v>
      </c>
      <c r="AG12" s="3">
        <v>7.3091900000000001E-2</v>
      </c>
      <c r="AH12" s="3">
        <v>3.83528</v>
      </c>
      <c r="AI12" s="3">
        <v>14.263999999999999</v>
      </c>
      <c r="AJ12" s="3">
        <v>9.1467499999999993E-2</v>
      </c>
      <c r="AK12" s="3">
        <v>0.70715099999999997</v>
      </c>
      <c r="AL12" s="3">
        <v>0</v>
      </c>
      <c r="AM12" s="3">
        <v>0</v>
      </c>
      <c r="AN12" s="3">
        <v>-0.461841</v>
      </c>
      <c r="AO12" s="3">
        <v>54.873100000000001</v>
      </c>
      <c r="AP12" s="3">
        <v>0.30439100000000002</v>
      </c>
      <c r="AQ12" s="3">
        <v>-1.3495500000000001E-2</v>
      </c>
      <c r="AR12" s="3">
        <v>2.3857900000000001</v>
      </c>
      <c r="AS12" s="3">
        <v>6.7879999999999996E-2</v>
      </c>
      <c r="AT12" s="3">
        <v>0.53204200000000001</v>
      </c>
      <c r="AU12" s="3">
        <v>56.0914</v>
      </c>
      <c r="AV12" s="3">
        <v>0.69887999999999995</v>
      </c>
      <c r="AW12" s="3">
        <v>-0.13964699999999999</v>
      </c>
      <c r="AX12" s="3">
        <v>0</v>
      </c>
      <c r="AY12" s="3">
        <v>0</v>
      </c>
      <c r="AZ12" s="21">
        <v>-0.66481100000000004</v>
      </c>
      <c r="BA12" s="3">
        <v>23.657</v>
      </c>
      <c r="BB12" s="3">
        <v>2</v>
      </c>
    </row>
    <row r="13" spans="1:54" s="1" customFormat="1" ht="63" customHeight="1" x14ac:dyDescent="0.25">
      <c r="A13" s="2">
        <v>11</v>
      </c>
      <c r="B13" s="3">
        <v>1</v>
      </c>
      <c r="C13" s="2">
        <v>1</v>
      </c>
      <c r="D13" s="9">
        <v>70</v>
      </c>
      <c r="E13" s="3" t="s">
        <v>16</v>
      </c>
      <c r="F13" s="3">
        <f t="shared" ref="F13:F20" si="3">IF(E23="Happy", 1,2)</f>
        <v>1</v>
      </c>
      <c r="G13" s="13"/>
      <c r="H13" s="3" t="s">
        <v>26</v>
      </c>
      <c r="I13" s="3">
        <f t="shared" si="1"/>
        <v>2</v>
      </c>
      <c r="J13" s="3" t="s">
        <v>29</v>
      </c>
      <c r="K13" s="3">
        <v>3</v>
      </c>
      <c r="L13" s="6" t="s">
        <v>150</v>
      </c>
      <c r="M13" s="3">
        <v>-60</v>
      </c>
      <c r="N13" s="3">
        <f t="shared" si="2"/>
        <v>-0.6</v>
      </c>
      <c r="O13" s="3">
        <v>68</v>
      </c>
      <c r="P13" s="3">
        <v>0.68</v>
      </c>
      <c r="Q13" s="17">
        <v>-0.33</v>
      </c>
      <c r="R13" s="21">
        <v>0.45254833995939042</v>
      </c>
      <c r="S13" s="3">
        <v>6</v>
      </c>
      <c r="T13" s="3">
        <v>67.78</v>
      </c>
      <c r="U13" s="3">
        <v>81.11</v>
      </c>
      <c r="V13" s="26">
        <v>-0.95247160253930596</v>
      </c>
      <c r="W13" s="18">
        <v>-0.92986172137382395</v>
      </c>
      <c r="X13" s="18">
        <v>-0.23190377333824899</v>
      </c>
      <c r="Y13" s="18">
        <v>-0.29431745120560798</v>
      </c>
      <c r="Z13" s="18">
        <v>-0.605791268417886</v>
      </c>
      <c r="AA13" s="18">
        <v>-0.28514539029869101</v>
      </c>
      <c r="AB13" s="18">
        <v>0.35521093457539799</v>
      </c>
      <c r="AC13" s="18">
        <v>0.129589158716956</v>
      </c>
      <c r="AD13" s="18">
        <v>0.42987785917290999</v>
      </c>
      <c r="AE13" s="21">
        <v>-0.28012795946865898</v>
      </c>
      <c r="AF13" s="3">
        <v>0</v>
      </c>
      <c r="AG13" s="3">
        <v>3.2625800000000003E-2</v>
      </c>
      <c r="AH13" s="3">
        <v>-0.60829</v>
      </c>
      <c r="AI13" s="3">
        <v>45.1128</v>
      </c>
      <c r="AJ13" s="3">
        <v>0.356686</v>
      </c>
      <c r="AK13" s="3">
        <v>1.5844199999999999</v>
      </c>
      <c r="AL13" s="3">
        <v>0</v>
      </c>
      <c r="AM13" s="3">
        <v>8.9680200000000002E-2</v>
      </c>
      <c r="AN13" s="3">
        <v>-0.30817899999999998</v>
      </c>
      <c r="AO13" s="3">
        <v>60</v>
      </c>
      <c r="AP13" s="3">
        <v>0.36256699999999997</v>
      </c>
      <c r="AQ13" s="3">
        <v>0.63543300000000003</v>
      </c>
      <c r="AR13" s="3">
        <v>3.8797000000000001</v>
      </c>
      <c r="AS13" s="3">
        <v>0.25679600000000002</v>
      </c>
      <c r="AT13" s="3">
        <v>1.2826599999999999</v>
      </c>
      <c r="AU13" s="3">
        <v>59.639099999999999</v>
      </c>
      <c r="AV13" s="3">
        <v>0.61187499999999995</v>
      </c>
      <c r="AW13" s="3">
        <v>0.23993600000000001</v>
      </c>
      <c r="AX13" s="3">
        <v>0</v>
      </c>
      <c r="AY13" s="3">
        <v>1.2241800000000001E-2</v>
      </c>
      <c r="AZ13" s="21">
        <v>-0.65773999999999999</v>
      </c>
      <c r="BA13" s="3">
        <v>13.329000000000001</v>
      </c>
      <c r="BB13" s="3">
        <v>3</v>
      </c>
    </row>
    <row r="14" spans="1:54" s="1" customFormat="1" ht="78.75" customHeight="1" x14ac:dyDescent="0.25">
      <c r="A14" s="2">
        <v>12</v>
      </c>
      <c r="B14" s="3">
        <v>1</v>
      </c>
      <c r="C14" s="2">
        <v>1</v>
      </c>
      <c r="D14" s="9">
        <v>70</v>
      </c>
      <c r="E14" s="3" t="s">
        <v>16</v>
      </c>
      <c r="F14" s="3">
        <f t="shared" si="3"/>
        <v>1</v>
      </c>
      <c r="G14" s="13"/>
      <c r="H14" s="3" t="s">
        <v>26</v>
      </c>
      <c r="I14" s="3">
        <f t="shared" si="1"/>
        <v>2</v>
      </c>
      <c r="J14" s="3" t="s">
        <v>30</v>
      </c>
      <c r="K14" s="3">
        <v>4</v>
      </c>
      <c r="L14" s="6" t="s">
        <v>153</v>
      </c>
      <c r="M14" s="3">
        <v>-60</v>
      </c>
      <c r="N14" s="3">
        <f t="shared" si="2"/>
        <v>-0.6</v>
      </c>
      <c r="O14" s="3">
        <v>68</v>
      </c>
      <c r="P14" s="3">
        <v>0.68</v>
      </c>
      <c r="Q14" s="17">
        <v>2.571428571428571E-2</v>
      </c>
      <c r="R14" s="21">
        <v>6.0609152673132393E-3</v>
      </c>
      <c r="S14" s="3">
        <v>7</v>
      </c>
      <c r="T14" s="3">
        <v>81.11</v>
      </c>
      <c r="U14" s="3">
        <v>106.7</v>
      </c>
      <c r="V14" s="26">
        <v>-1.4281189064361</v>
      </c>
      <c r="W14" s="18">
        <v>-2.41187819428571E-3</v>
      </c>
      <c r="X14" s="18">
        <v>-0.41902916555727898</v>
      </c>
      <c r="Y14" s="18">
        <v>-1.3581107753069399</v>
      </c>
      <c r="Z14" s="18">
        <v>-1.18460357877171</v>
      </c>
      <c r="AA14" s="18">
        <v>-1.1658764908102199</v>
      </c>
      <c r="AB14" s="18">
        <v>3.0987597042138999E-2</v>
      </c>
      <c r="AC14" s="18">
        <v>0.53536915003163499</v>
      </c>
      <c r="AD14" s="18">
        <v>-0.278029287512505</v>
      </c>
      <c r="AE14" s="21">
        <v>-9.2075060152252905E-2</v>
      </c>
      <c r="AF14" s="3">
        <v>0</v>
      </c>
      <c r="AG14" s="3">
        <v>0.141094</v>
      </c>
      <c r="AH14" s="3">
        <v>-0.486321</v>
      </c>
      <c r="AI14" s="3">
        <v>22.283000000000001</v>
      </c>
      <c r="AJ14" s="3">
        <v>0.14292299999999999</v>
      </c>
      <c r="AK14" s="3">
        <v>0.77593999999999996</v>
      </c>
      <c r="AL14" s="3">
        <v>0</v>
      </c>
      <c r="AM14" s="3">
        <v>0</v>
      </c>
      <c r="AN14" s="3">
        <v>-0.461841</v>
      </c>
      <c r="AO14" s="3">
        <v>54.229900000000001</v>
      </c>
      <c r="AP14" s="3">
        <v>0.130082</v>
      </c>
      <c r="AQ14" s="3">
        <v>-0.20497899999999999</v>
      </c>
      <c r="AR14" s="3">
        <v>17.122800000000002</v>
      </c>
      <c r="AS14" s="3">
        <v>0.15653700000000001</v>
      </c>
      <c r="AT14" s="3">
        <v>1.09775</v>
      </c>
      <c r="AU14" s="3">
        <v>59.437100000000001</v>
      </c>
      <c r="AV14" s="3">
        <v>0.62506700000000004</v>
      </c>
      <c r="AW14" s="3">
        <v>-9.5258400000000007E-3</v>
      </c>
      <c r="AX14" s="3">
        <v>0</v>
      </c>
      <c r="AY14" s="3">
        <v>9.3388299999999994E-2</v>
      </c>
      <c r="AZ14" s="21">
        <v>-0.59520600000000001</v>
      </c>
      <c r="BA14" s="3">
        <v>25.591000000000001</v>
      </c>
      <c r="BB14" s="3">
        <v>4</v>
      </c>
    </row>
    <row r="15" spans="1:54" s="1" customFormat="1" ht="110.25" customHeight="1" x14ac:dyDescent="0.25">
      <c r="A15" s="2">
        <v>13</v>
      </c>
      <c r="B15" s="3">
        <v>1</v>
      </c>
      <c r="C15" s="2">
        <v>1</v>
      </c>
      <c r="D15" s="9">
        <v>70</v>
      </c>
      <c r="E15" s="3" t="s">
        <v>16</v>
      </c>
      <c r="F15" s="3">
        <f t="shared" si="3"/>
        <v>1</v>
      </c>
      <c r="G15" s="13"/>
      <c r="H15" s="3" t="s">
        <v>26</v>
      </c>
      <c r="I15" s="3">
        <f t="shared" si="1"/>
        <v>2</v>
      </c>
      <c r="J15" s="3" t="s">
        <v>31</v>
      </c>
      <c r="K15" s="3">
        <v>5</v>
      </c>
      <c r="L15" s="6" t="s">
        <v>154</v>
      </c>
      <c r="M15" s="3">
        <v>-60</v>
      </c>
      <c r="N15" s="3">
        <f t="shared" si="2"/>
        <v>-0.6</v>
      </c>
      <c r="O15" s="3">
        <v>68</v>
      </c>
      <c r="P15" s="3">
        <v>0.68</v>
      </c>
      <c r="Q15" s="17">
        <v>-0.15</v>
      </c>
      <c r="R15" s="21">
        <v>4.3301270189221919E-2</v>
      </c>
      <c r="S15" s="3">
        <v>11</v>
      </c>
      <c r="T15" s="3">
        <v>122.83</v>
      </c>
      <c r="U15" s="3">
        <v>162.24</v>
      </c>
      <c r="V15" s="26">
        <v>-5.2978314889178001E-2</v>
      </c>
      <c r="W15" s="18">
        <v>-1.99625445262911E-2</v>
      </c>
      <c r="X15" s="18">
        <v>-0.37331614155665699</v>
      </c>
      <c r="Y15" s="18">
        <v>-7.1612751241309794E-2</v>
      </c>
      <c r="Z15" s="18">
        <v>-0.80396090687801003</v>
      </c>
      <c r="AA15" s="18">
        <v>-0.61383136445990205</v>
      </c>
      <c r="AB15" s="18">
        <v>0.58741682988913901</v>
      </c>
      <c r="AC15" s="18">
        <v>0.67180737010782599</v>
      </c>
      <c r="AD15" s="18">
        <v>-0.66965613722584705</v>
      </c>
      <c r="AE15" s="21">
        <v>-0.97667589853662595</v>
      </c>
      <c r="AF15" s="3">
        <v>2.1025900000000002</v>
      </c>
      <c r="AG15" s="3">
        <v>0.254637</v>
      </c>
      <c r="AH15" s="3">
        <v>4.5738500000000002</v>
      </c>
      <c r="AI15" s="3">
        <v>3.1995900000000002</v>
      </c>
      <c r="AJ15" s="3">
        <v>0.242204</v>
      </c>
      <c r="AK15" s="3">
        <v>1.2081200000000001</v>
      </c>
      <c r="AL15" s="3">
        <v>0</v>
      </c>
      <c r="AM15" s="3">
        <v>0</v>
      </c>
      <c r="AN15" s="3">
        <v>-0.461841</v>
      </c>
      <c r="AO15" s="3">
        <v>48.908099999999997</v>
      </c>
      <c r="AP15" s="3">
        <v>0.146929</v>
      </c>
      <c r="AQ15" s="3">
        <v>-0.70950500000000005</v>
      </c>
      <c r="AR15" s="3">
        <v>16.485499999999998</v>
      </c>
      <c r="AS15" s="3">
        <v>0.15534899999999999</v>
      </c>
      <c r="AT15" s="3">
        <v>0.68764899999999995</v>
      </c>
      <c r="AU15" s="3">
        <v>58.902999999999999</v>
      </c>
      <c r="AV15" s="3">
        <v>0.45402900000000002</v>
      </c>
      <c r="AW15" s="3">
        <v>0.47053400000000001</v>
      </c>
      <c r="AX15" s="3">
        <v>0.213306</v>
      </c>
      <c r="AY15" s="3">
        <v>2.8535700000000001E-2</v>
      </c>
      <c r="AZ15" s="21">
        <v>4.5174200000000004</v>
      </c>
      <c r="BA15" s="3">
        <v>39.405999999999999</v>
      </c>
      <c r="BB15" s="3">
        <v>5</v>
      </c>
    </row>
    <row r="16" spans="1:54" s="3" customFormat="1" ht="47.25" customHeight="1" x14ac:dyDescent="0.25">
      <c r="A16" s="2">
        <v>14</v>
      </c>
      <c r="B16" s="3">
        <v>1</v>
      </c>
      <c r="C16" s="2">
        <v>1</v>
      </c>
      <c r="D16" s="9">
        <v>70</v>
      </c>
      <c r="E16" s="3" t="s">
        <v>16</v>
      </c>
      <c r="F16" s="3">
        <f t="shared" si="3"/>
        <v>1</v>
      </c>
      <c r="G16" s="11"/>
      <c r="H16" s="3" t="s">
        <v>26</v>
      </c>
      <c r="I16" s="3">
        <f t="shared" si="1"/>
        <v>2</v>
      </c>
      <c r="J16" s="3" t="s">
        <v>32</v>
      </c>
      <c r="K16" s="3">
        <v>6</v>
      </c>
      <c r="L16" s="6" t="s">
        <v>153</v>
      </c>
      <c r="M16" s="3">
        <v>-60</v>
      </c>
      <c r="N16" s="3">
        <f t="shared" si="2"/>
        <v>-0.6</v>
      </c>
      <c r="O16" s="3">
        <v>68</v>
      </c>
      <c r="P16" s="3">
        <v>0.68</v>
      </c>
      <c r="Q16" s="17">
        <v>-0.1214285714285714</v>
      </c>
      <c r="R16" s="21">
        <v>0</v>
      </c>
      <c r="S16" s="3">
        <v>13</v>
      </c>
      <c r="T16" s="3">
        <v>164.17</v>
      </c>
      <c r="U16" s="3">
        <v>190.02</v>
      </c>
      <c r="V16" s="26">
        <v>-0.71723206633157399</v>
      </c>
      <c r="W16" s="18">
        <v>-0.36272269370388299</v>
      </c>
      <c r="X16" s="18">
        <v>-6.9687199855106005E-2</v>
      </c>
      <c r="Y16" s="18">
        <v>-0.38111359640667603</v>
      </c>
      <c r="Z16" s="18">
        <v>-0.68323554762973404</v>
      </c>
      <c r="AA16" s="18">
        <v>-0.65894512561928398</v>
      </c>
      <c r="AB16" s="18">
        <v>0.61624736008846603</v>
      </c>
      <c r="AC16" s="18">
        <v>-4.9972022108704398E-2</v>
      </c>
      <c r="AD16" s="18">
        <v>1.33885516695276</v>
      </c>
      <c r="AE16" s="21">
        <v>0.443499597100871</v>
      </c>
      <c r="AF16" s="3">
        <v>6.4601100000000002</v>
      </c>
      <c r="AG16" s="3">
        <v>0.181644</v>
      </c>
      <c r="AH16" s="3">
        <v>4.3371300000000002</v>
      </c>
      <c r="AI16" s="3">
        <v>12.966699999999999</v>
      </c>
      <c r="AJ16" s="3">
        <v>6.2740400000000002E-2</v>
      </c>
      <c r="AK16" s="3">
        <v>0.44208700000000001</v>
      </c>
      <c r="AL16" s="3">
        <v>1.1618900000000001</v>
      </c>
      <c r="AM16" s="3">
        <v>0.59465000000000001</v>
      </c>
      <c r="AN16" s="3">
        <v>12.672499999999999</v>
      </c>
      <c r="AO16" s="3">
        <v>51.7273</v>
      </c>
      <c r="AP16" s="3">
        <v>0.19734399999999999</v>
      </c>
      <c r="AQ16" s="3">
        <v>-3.2137499999999999E-2</v>
      </c>
      <c r="AR16" s="3">
        <v>12.455500000000001</v>
      </c>
      <c r="AS16" s="3">
        <v>0.13891800000000001</v>
      </c>
      <c r="AT16" s="3">
        <v>0.75972899999999999</v>
      </c>
      <c r="AU16" s="3">
        <v>53.911700000000003</v>
      </c>
      <c r="AV16" s="3">
        <v>0.52643799999999996</v>
      </c>
      <c r="AW16" s="3">
        <v>0.60045999999999999</v>
      </c>
      <c r="AX16" s="3">
        <v>0.836561</v>
      </c>
      <c r="AY16" s="3">
        <v>0.31082900000000002</v>
      </c>
      <c r="AZ16" s="21">
        <v>5.82416</v>
      </c>
      <c r="BA16" s="3">
        <v>25.849</v>
      </c>
      <c r="BB16" s="3">
        <v>6</v>
      </c>
    </row>
    <row r="17" spans="1:54" s="3" customFormat="1" ht="31.5" customHeight="1" x14ac:dyDescent="0.25">
      <c r="A17" s="2">
        <v>15</v>
      </c>
      <c r="B17" s="3">
        <v>1</v>
      </c>
      <c r="C17" s="2">
        <v>1</v>
      </c>
      <c r="D17" s="9">
        <v>70</v>
      </c>
      <c r="E17" s="3" t="s">
        <v>16</v>
      </c>
      <c r="F17" s="3">
        <f t="shared" si="3"/>
        <v>1</v>
      </c>
      <c r="G17" s="11"/>
      <c r="H17" s="3" t="s">
        <v>26</v>
      </c>
      <c r="I17" s="3">
        <f t="shared" si="1"/>
        <v>2</v>
      </c>
      <c r="J17" s="3" t="s">
        <v>33</v>
      </c>
      <c r="K17" s="3">
        <v>7</v>
      </c>
      <c r="L17" s="6" t="s">
        <v>145</v>
      </c>
      <c r="M17" s="3">
        <v>-60</v>
      </c>
      <c r="N17" s="3">
        <f t="shared" si="2"/>
        <v>-0.6</v>
      </c>
      <c r="O17" s="3">
        <v>68</v>
      </c>
      <c r="P17" s="3">
        <v>0.68</v>
      </c>
      <c r="Q17" s="17">
        <v>0.3</v>
      </c>
      <c r="R17" s="21">
        <v>0</v>
      </c>
      <c r="S17" s="3">
        <v>14</v>
      </c>
      <c r="T17" s="3">
        <v>190.02</v>
      </c>
      <c r="U17" s="3">
        <v>199.84</v>
      </c>
      <c r="V17" s="26">
        <v>-0.13619704219544601</v>
      </c>
      <c r="W17" s="18">
        <v>1.2355335677088</v>
      </c>
      <c r="X17" s="18">
        <v>0.404895010539219</v>
      </c>
      <c r="Y17" s="18">
        <v>2.2657827283770899</v>
      </c>
      <c r="Z17" s="18">
        <v>-0.83304579266249001</v>
      </c>
      <c r="AA17" s="18">
        <v>-1.28700847400483</v>
      </c>
      <c r="AB17" s="18">
        <v>1.17087468479801</v>
      </c>
      <c r="AC17" s="18">
        <v>-0.307295919039965</v>
      </c>
      <c r="AD17" s="18">
        <v>0.92576331093521702</v>
      </c>
      <c r="AE17" s="21">
        <v>1.33261370506884</v>
      </c>
      <c r="AF17" s="3">
        <v>0</v>
      </c>
      <c r="AG17" s="3">
        <v>0.44157200000000002</v>
      </c>
      <c r="AH17" s="3">
        <v>0.21461</v>
      </c>
      <c r="AI17" s="3">
        <v>23.2653</v>
      </c>
      <c r="AJ17" s="3">
        <v>8.8458999999999996E-2</v>
      </c>
      <c r="AK17" s="3">
        <v>0.72033400000000003</v>
      </c>
      <c r="AL17" s="3">
        <v>0</v>
      </c>
      <c r="AM17" s="3">
        <v>0</v>
      </c>
      <c r="AN17" s="3">
        <v>-0.461841</v>
      </c>
      <c r="AO17" s="3">
        <v>46.5306</v>
      </c>
      <c r="AP17" s="3">
        <v>0.27270299999999997</v>
      </c>
      <c r="AQ17" s="3">
        <v>1.43009E-2</v>
      </c>
      <c r="AR17" s="3">
        <v>17.510200000000001</v>
      </c>
      <c r="AS17" s="3">
        <v>0.55245</v>
      </c>
      <c r="AT17" s="3">
        <v>1.9597199999999999</v>
      </c>
      <c r="AU17" s="3">
        <v>52.408200000000001</v>
      </c>
      <c r="AV17" s="3">
        <v>0.73229699999999998</v>
      </c>
      <c r="AW17" s="3">
        <v>0.240261</v>
      </c>
      <c r="AX17" s="3">
        <v>1.46939</v>
      </c>
      <c r="AY17" s="3">
        <v>0.225906</v>
      </c>
      <c r="AZ17" s="21">
        <v>5.3261599999999998</v>
      </c>
      <c r="BA17" s="3">
        <v>9.82</v>
      </c>
      <c r="BB17" s="3">
        <v>7</v>
      </c>
    </row>
    <row r="18" spans="1:54" s="3" customFormat="1" ht="47.25" customHeight="1" x14ac:dyDescent="0.25">
      <c r="A18" s="2">
        <v>16</v>
      </c>
      <c r="B18" s="3">
        <v>1</v>
      </c>
      <c r="C18" s="2">
        <v>1</v>
      </c>
      <c r="D18" s="9">
        <v>70</v>
      </c>
      <c r="E18" s="3" t="s">
        <v>16</v>
      </c>
      <c r="F18" s="3">
        <f t="shared" si="3"/>
        <v>1</v>
      </c>
      <c r="G18" s="11"/>
      <c r="H18" s="3" t="s">
        <v>26</v>
      </c>
      <c r="I18" s="3">
        <f t="shared" si="1"/>
        <v>2</v>
      </c>
      <c r="J18" s="3" t="s">
        <v>34</v>
      </c>
      <c r="K18" s="3">
        <v>8</v>
      </c>
      <c r="L18" s="6" t="s">
        <v>155</v>
      </c>
      <c r="M18" s="3">
        <v>-60</v>
      </c>
      <c r="N18" s="3">
        <f t="shared" si="2"/>
        <v>-0.6</v>
      </c>
      <c r="O18" s="3">
        <v>68</v>
      </c>
      <c r="P18" s="3">
        <v>0.68</v>
      </c>
      <c r="Q18" s="17">
        <v>-8.0555555555555547E-2</v>
      </c>
      <c r="R18" s="21">
        <v>7.5614764382312211E-2</v>
      </c>
      <c r="S18" s="3">
        <v>15</v>
      </c>
      <c r="T18" s="3">
        <v>199.84</v>
      </c>
      <c r="U18" s="3">
        <v>219.01</v>
      </c>
      <c r="V18" s="26">
        <v>-0.23614451877022799</v>
      </c>
      <c r="W18" s="18">
        <v>0.79629930728614096</v>
      </c>
      <c r="X18" s="18">
        <v>-0.154901438819776</v>
      </c>
      <c r="Y18" s="18">
        <v>2.08871550333612</v>
      </c>
      <c r="Z18" s="18">
        <v>0.17546108029299301</v>
      </c>
      <c r="AA18" s="18">
        <v>-8.5754841827600306E-2</v>
      </c>
      <c r="AB18" s="18">
        <v>0.291903895346044</v>
      </c>
      <c r="AC18" s="18">
        <v>0.69690351939645101</v>
      </c>
      <c r="AD18" s="18">
        <v>-0.823415672180414</v>
      </c>
      <c r="AE18" s="21">
        <v>0.69925154017118396</v>
      </c>
      <c r="AF18" s="3">
        <v>0</v>
      </c>
      <c r="AG18" s="3">
        <v>0.19036</v>
      </c>
      <c r="AH18" s="3">
        <v>-0.40662100000000001</v>
      </c>
      <c r="AI18" s="3">
        <v>21.9207</v>
      </c>
      <c r="AJ18" s="3">
        <v>0.12931300000000001</v>
      </c>
      <c r="AK18" s="3">
        <v>0.86180699999999999</v>
      </c>
      <c r="AL18" s="3">
        <v>0</v>
      </c>
      <c r="AM18" s="3">
        <v>0</v>
      </c>
      <c r="AN18" s="3">
        <v>-0.461841</v>
      </c>
      <c r="AO18" s="3">
        <v>51.1691</v>
      </c>
      <c r="AP18" s="3">
        <v>8.6742E-2</v>
      </c>
      <c r="AQ18" s="3">
        <v>-0.86488500000000001</v>
      </c>
      <c r="AR18" s="3">
        <v>15.908099999999999</v>
      </c>
      <c r="AS18" s="3">
        <v>9.26675E-2</v>
      </c>
      <c r="AT18" s="3">
        <v>0.66069800000000001</v>
      </c>
      <c r="AU18" s="3">
        <v>54.112699999999997</v>
      </c>
      <c r="AV18" s="3">
        <v>0.484844</v>
      </c>
      <c r="AW18" s="3">
        <v>0.53978599999999999</v>
      </c>
      <c r="AX18" s="3">
        <v>2.3173300000000001</v>
      </c>
      <c r="AY18" s="3">
        <v>0.31857600000000003</v>
      </c>
      <c r="AZ18" s="21">
        <v>5.80227</v>
      </c>
      <c r="BA18" s="3">
        <v>19.167999999999999</v>
      </c>
      <c r="BB18" s="3">
        <v>8</v>
      </c>
    </row>
    <row r="19" spans="1:54" s="3" customFormat="1" ht="94.5" customHeight="1" x14ac:dyDescent="0.25">
      <c r="A19" s="2">
        <v>17</v>
      </c>
      <c r="B19" s="3">
        <v>1</v>
      </c>
      <c r="C19" s="2">
        <v>1</v>
      </c>
      <c r="D19" s="9">
        <v>70</v>
      </c>
      <c r="E19" s="3" t="s">
        <v>16</v>
      </c>
      <c r="F19" s="3">
        <f t="shared" si="3"/>
        <v>1</v>
      </c>
      <c r="G19" s="11"/>
      <c r="H19" s="3" t="s">
        <v>26</v>
      </c>
      <c r="I19" s="3">
        <f t="shared" si="1"/>
        <v>2</v>
      </c>
      <c r="J19" s="3" t="s">
        <v>35</v>
      </c>
      <c r="K19" s="3">
        <v>9</v>
      </c>
      <c r="L19" s="6" t="s">
        <v>154</v>
      </c>
      <c r="M19" s="3">
        <v>-60</v>
      </c>
      <c r="N19" s="3">
        <f t="shared" si="2"/>
        <v>-0.6</v>
      </c>
      <c r="O19" s="3">
        <v>68</v>
      </c>
      <c r="P19" s="3">
        <v>0.68</v>
      </c>
      <c r="Q19" s="17">
        <v>1.666666666666667E-2</v>
      </c>
      <c r="R19" s="21">
        <v>2.8867513459481291E-2</v>
      </c>
      <c r="S19" s="3">
        <v>17</v>
      </c>
      <c r="T19" s="3">
        <v>239.28</v>
      </c>
      <c r="U19" s="3">
        <v>278.68</v>
      </c>
      <c r="V19" s="26">
        <v>-0.63686946694919899</v>
      </c>
      <c r="W19" s="18">
        <v>-0.79435062626684705</v>
      </c>
      <c r="X19" s="18">
        <v>-0.112819110100876</v>
      </c>
      <c r="Y19" s="18">
        <v>1.16353346093935</v>
      </c>
      <c r="Z19" s="18">
        <v>0.104480109033251</v>
      </c>
      <c r="AA19" s="18">
        <v>4.3694032029728401E-2</v>
      </c>
      <c r="AB19" s="18">
        <v>-0.60628724757214003</v>
      </c>
      <c r="AC19" s="18">
        <v>0.232801491002571</v>
      </c>
      <c r="AD19" s="18">
        <v>0.19595309659245699</v>
      </c>
      <c r="AE19" s="21">
        <v>-0.212428915714753</v>
      </c>
      <c r="AF19" s="3">
        <v>0</v>
      </c>
      <c r="AG19" s="3">
        <v>0.278748</v>
      </c>
      <c r="AH19" s="3">
        <v>-0.23091700000000001</v>
      </c>
      <c r="AI19" s="3">
        <v>20.0305</v>
      </c>
      <c r="AJ19" s="3">
        <v>4.0508700000000002E-2</v>
      </c>
      <c r="AK19" s="3">
        <v>0.40007799999999999</v>
      </c>
      <c r="AL19" s="3">
        <v>0</v>
      </c>
      <c r="AM19" s="3">
        <v>0</v>
      </c>
      <c r="AN19" s="3">
        <v>-0.461841</v>
      </c>
      <c r="AO19" s="3">
        <v>55</v>
      </c>
      <c r="AP19" s="3">
        <v>0.33028000000000002</v>
      </c>
      <c r="AQ19" s="3">
        <v>0.29777700000000001</v>
      </c>
      <c r="AR19" s="3">
        <v>24.2988</v>
      </c>
      <c r="AS19" s="3">
        <v>0.50654999999999994</v>
      </c>
      <c r="AT19" s="3">
        <v>1.7450699999999999</v>
      </c>
      <c r="AU19" s="3">
        <v>56.4634</v>
      </c>
      <c r="AV19" s="3">
        <v>0.55937999999999999</v>
      </c>
      <c r="AW19" s="3">
        <v>0.272397</v>
      </c>
      <c r="AX19" s="3">
        <v>0</v>
      </c>
      <c r="AY19" s="3">
        <v>0.15561900000000001</v>
      </c>
      <c r="AZ19" s="21">
        <v>-0.44584000000000001</v>
      </c>
      <c r="BA19" s="3">
        <v>39.396000000000001</v>
      </c>
      <c r="BB19" s="3">
        <v>9</v>
      </c>
    </row>
    <row r="20" spans="1:54" s="3" customFormat="1" ht="94.5" customHeight="1" x14ac:dyDescent="0.25">
      <c r="A20" s="2">
        <v>18</v>
      </c>
      <c r="B20" s="3">
        <v>1</v>
      </c>
      <c r="C20" s="2">
        <v>1</v>
      </c>
      <c r="D20" s="9">
        <v>70</v>
      </c>
      <c r="E20" s="3" t="s">
        <v>16</v>
      </c>
      <c r="F20" s="3">
        <f t="shared" si="3"/>
        <v>1</v>
      </c>
      <c r="G20" s="11"/>
      <c r="H20" s="3" t="s">
        <v>26</v>
      </c>
      <c r="I20" s="3">
        <f t="shared" si="1"/>
        <v>2</v>
      </c>
      <c r="J20" s="3" t="s">
        <v>36</v>
      </c>
      <c r="K20" s="3">
        <v>10</v>
      </c>
      <c r="L20" s="6" t="s">
        <v>156</v>
      </c>
      <c r="M20" s="3">
        <v>-60</v>
      </c>
      <c r="N20" s="3">
        <f t="shared" si="2"/>
        <v>-0.6</v>
      </c>
      <c r="O20" s="3">
        <v>68</v>
      </c>
      <c r="P20" s="3">
        <v>0.68</v>
      </c>
      <c r="Q20" s="17">
        <v>-1.833333333333332E-2</v>
      </c>
      <c r="R20" s="21">
        <v>7.9109628575372112E-2</v>
      </c>
      <c r="S20" s="3">
        <v>18</v>
      </c>
      <c r="T20" s="3">
        <v>278.68</v>
      </c>
      <c r="U20" s="3">
        <v>312.48</v>
      </c>
      <c r="V20" s="26">
        <v>0.17705898831432201</v>
      </c>
      <c r="W20" s="18">
        <v>2.0009358953282201</v>
      </c>
      <c r="X20" s="18">
        <v>0.41569070624416199</v>
      </c>
      <c r="Y20" s="18">
        <v>2.2191413834469702</v>
      </c>
      <c r="Z20" s="18">
        <v>-4.0020990181702402E-2</v>
      </c>
      <c r="AA20" s="18">
        <v>0.15043257714015701</v>
      </c>
      <c r="AB20" s="18">
        <v>0.58921873802659697</v>
      </c>
      <c r="AC20" s="18">
        <v>0.27168284905537199</v>
      </c>
      <c r="AD20" s="18">
        <v>0.27173771068687302</v>
      </c>
      <c r="AE20" s="21">
        <v>-0.343313733638971</v>
      </c>
      <c r="AF20" s="3">
        <v>0.248668</v>
      </c>
      <c r="AG20" s="3">
        <v>0.13914699999999999</v>
      </c>
      <c r="AH20" s="3">
        <v>3.5981800000000002</v>
      </c>
      <c r="AI20" s="3">
        <v>11.794</v>
      </c>
      <c r="AJ20" s="3">
        <v>7.2085800000000005E-2</v>
      </c>
      <c r="AK20" s="3">
        <v>0.47564400000000001</v>
      </c>
      <c r="AL20" s="3">
        <v>0</v>
      </c>
      <c r="AM20" s="3">
        <v>0</v>
      </c>
      <c r="AN20" s="3">
        <v>-0.461841</v>
      </c>
      <c r="AO20" s="3">
        <v>48.667900000000003</v>
      </c>
      <c r="AP20" s="3">
        <v>0.31313000000000002</v>
      </c>
      <c r="AQ20" s="3">
        <v>-0.177401</v>
      </c>
      <c r="AR20" s="3">
        <v>37.300199999999997</v>
      </c>
      <c r="AS20" s="3">
        <v>0.32907500000000001</v>
      </c>
      <c r="AT20" s="3">
        <v>1.1849700000000001</v>
      </c>
      <c r="AU20" s="3">
        <v>57.015999999999998</v>
      </c>
      <c r="AV20" s="3">
        <v>0.54236200000000001</v>
      </c>
      <c r="AW20" s="3">
        <v>0.32784000000000002</v>
      </c>
      <c r="AX20" s="3">
        <v>0</v>
      </c>
      <c r="AY20" s="3">
        <v>0.121938</v>
      </c>
      <c r="AZ20" s="21">
        <v>-0.51588400000000001</v>
      </c>
      <c r="BA20" s="3">
        <v>33.798000000000002</v>
      </c>
      <c r="BB20" s="3">
        <v>10</v>
      </c>
    </row>
    <row r="21" spans="1:54" s="3" customFormat="1" ht="31.5" customHeight="1" x14ac:dyDescent="0.25">
      <c r="A21" s="2">
        <v>19</v>
      </c>
      <c r="B21" s="3">
        <v>1</v>
      </c>
      <c r="C21" s="2">
        <v>1</v>
      </c>
      <c r="D21" s="9">
        <v>70</v>
      </c>
      <c r="E21" s="3" t="s">
        <v>16</v>
      </c>
      <c r="F21" s="3">
        <f>IF(E22="Happy", 1,2)</f>
        <v>1</v>
      </c>
      <c r="G21" s="11"/>
      <c r="H21" s="3" t="s">
        <v>26</v>
      </c>
      <c r="I21" s="3">
        <f t="shared" si="1"/>
        <v>2</v>
      </c>
      <c r="J21" s="3" t="s">
        <v>37</v>
      </c>
      <c r="K21" s="3">
        <v>11</v>
      </c>
      <c r="L21" s="6" t="s">
        <v>157</v>
      </c>
      <c r="M21" s="3">
        <v>-60</v>
      </c>
      <c r="N21" s="3">
        <f t="shared" si="2"/>
        <v>-0.6</v>
      </c>
      <c r="O21" s="3">
        <v>68</v>
      </c>
      <c r="P21" s="3">
        <v>0.68</v>
      </c>
      <c r="Q21" s="17">
        <v>0.27777777777777779</v>
      </c>
      <c r="R21" s="21">
        <v>0.26057865332352392</v>
      </c>
      <c r="S21" s="3">
        <v>19</v>
      </c>
      <c r="T21" s="3">
        <v>312.48</v>
      </c>
      <c r="U21" s="3">
        <v>326.61</v>
      </c>
      <c r="V21" s="26">
        <v>-1.36205394743463</v>
      </c>
      <c r="W21" s="18">
        <v>-1.2307169270047</v>
      </c>
      <c r="X21" s="18">
        <v>-0.44727950915421899</v>
      </c>
      <c r="Y21" s="18">
        <v>-0.30134454125302901</v>
      </c>
      <c r="Z21" s="18">
        <v>0.47889030540170902</v>
      </c>
      <c r="AA21" s="18">
        <v>0.68918909221018998</v>
      </c>
      <c r="AB21" s="18">
        <v>0.67006434979387597</v>
      </c>
      <c r="AC21" s="18">
        <v>-0.77669995080468102</v>
      </c>
      <c r="AD21" s="18">
        <v>0.42199275481626503</v>
      </c>
      <c r="AE21" s="21">
        <v>0.52925171918915204</v>
      </c>
      <c r="AF21" s="3">
        <v>0</v>
      </c>
      <c r="AG21" s="3">
        <v>0.28572399999999998</v>
      </c>
      <c r="AH21" s="3">
        <v>-1.3424E-2</v>
      </c>
      <c r="AI21" s="3">
        <v>2.63456</v>
      </c>
      <c r="AJ21" s="3">
        <v>0.12277200000000001</v>
      </c>
      <c r="AK21" s="3">
        <v>0.71915099999999998</v>
      </c>
      <c r="AL21" s="3">
        <v>0</v>
      </c>
      <c r="AM21" s="3">
        <v>0</v>
      </c>
      <c r="AN21" s="3">
        <v>-0.461841</v>
      </c>
      <c r="AO21" s="3">
        <v>52.861199999999997</v>
      </c>
      <c r="AP21" s="3">
        <v>0.26583600000000002</v>
      </c>
      <c r="AQ21" s="3">
        <v>-0.213088</v>
      </c>
      <c r="AR21" s="3">
        <v>41.303100000000001</v>
      </c>
      <c r="AS21" s="3">
        <v>0.111928</v>
      </c>
      <c r="AT21" s="3">
        <v>0.93963799999999997</v>
      </c>
      <c r="AU21" s="3">
        <v>59.575099999999999</v>
      </c>
      <c r="AV21" s="3">
        <v>0.526833</v>
      </c>
      <c r="AW21" s="3">
        <v>0.26497500000000002</v>
      </c>
      <c r="AX21" s="3">
        <v>0</v>
      </c>
      <c r="AY21" s="3">
        <v>0.29055300000000001</v>
      </c>
      <c r="AZ21" s="21">
        <v>-0.24107700000000001</v>
      </c>
      <c r="BA21" s="3">
        <v>14.127000000000001</v>
      </c>
      <c r="BB21" s="3">
        <v>11</v>
      </c>
    </row>
    <row r="22" spans="1:54" s="3" customFormat="1" ht="47.25" customHeight="1" x14ac:dyDescent="0.25">
      <c r="A22" s="2">
        <v>20</v>
      </c>
      <c r="B22" s="3">
        <v>1</v>
      </c>
      <c r="C22" s="2">
        <v>1</v>
      </c>
      <c r="D22" s="9">
        <v>70</v>
      </c>
      <c r="E22" s="3" t="s">
        <v>16</v>
      </c>
      <c r="F22" s="3">
        <f>IF(E23="Happy", 1,2)</f>
        <v>1</v>
      </c>
      <c r="G22" s="11" t="s">
        <v>38</v>
      </c>
      <c r="H22" s="3" t="s">
        <v>38</v>
      </c>
      <c r="I22" s="3">
        <f t="shared" si="1"/>
        <v>3</v>
      </c>
      <c r="J22" s="3" t="s">
        <v>39</v>
      </c>
      <c r="K22" s="3">
        <v>1</v>
      </c>
      <c r="L22" s="6" t="s">
        <v>155</v>
      </c>
      <c r="M22" s="3">
        <v>24</v>
      </c>
      <c r="N22" s="3">
        <f t="shared" si="2"/>
        <v>0.24</v>
      </c>
      <c r="O22" s="3">
        <v>66</v>
      </c>
      <c r="P22" s="3">
        <v>0.66</v>
      </c>
      <c r="Q22" s="17">
        <v>9.1666666666666674E-2</v>
      </c>
      <c r="R22" s="21">
        <v>0.18085445345175591</v>
      </c>
      <c r="S22" s="3">
        <v>2</v>
      </c>
      <c r="T22" s="3">
        <v>21.61</v>
      </c>
      <c r="U22" s="3">
        <v>40.770000000000003</v>
      </c>
      <c r="V22" s="26">
        <v>-0.43801156024819199</v>
      </c>
      <c r="W22" s="18">
        <v>-0.32648352920840101</v>
      </c>
      <c r="X22" s="18">
        <v>-0.236075324406777</v>
      </c>
      <c r="Y22" s="18">
        <v>-7.5087685880142696E-2</v>
      </c>
      <c r="Z22" s="18">
        <v>-2.3271086755199799</v>
      </c>
      <c r="AA22" s="18">
        <v>-2.24354296911749</v>
      </c>
      <c r="AB22" s="18">
        <v>-1.60922931688121</v>
      </c>
      <c r="AC22" s="18">
        <v>-1.4648999883392499</v>
      </c>
      <c r="AD22" s="18">
        <v>1.1991135952988901</v>
      </c>
      <c r="AE22" s="21">
        <v>0.700755963365715</v>
      </c>
      <c r="AF22" s="3">
        <v>0</v>
      </c>
      <c r="AG22" s="3">
        <v>0.38728600000000002</v>
      </c>
      <c r="AH22" s="3">
        <v>1.29471</v>
      </c>
      <c r="AI22" s="3">
        <v>13.793100000000001</v>
      </c>
      <c r="AJ22" s="3">
        <v>8.7527800000000003E-2</v>
      </c>
      <c r="AK22" s="3">
        <v>0.70715600000000001</v>
      </c>
      <c r="AL22" s="3">
        <v>0</v>
      </c>
      <c r="AM22" s="3">
        <v>6.6666700000000004E-3</v>
      </c>
      <c r="AN22" s="3">
        <v>-0.489286</v>
      </c>
      <c r="AO22" s="3">
        <v>58.369900000000001</v>
      </c>
      <c r="AP22" s="3">
        <v>0.24735299999999999</v>
      </c>
      <c r="AQ22" s="3">
        <v>4.0084000000000002E-2</v>
      </c>
      <c r="AR22" s="3">
        <v>8.58934</v>
      </c>
      <c r="AS22" s="3">
        <v>0.14793400000000001</v>
      </c>
      <c r="AT22" s="3">
        <v>0.36395699999999997</v>
      </c>
      <c r="AU22" s="3">
        <v>57.0533</v>
      </c>
      <c r="AV22" s="3">
        <v>0.56360600000000005</v>
      </c>
      <c r="AW22" s="3">
        <v>-0.69019299999999995</v>
      </c>
      <c r="AX22" s="3">
        <v>0</v>
      </c>
      <c r="AY22" s="3">
        <v>8.7911400000000001E-2</v>
      </c>
      <c r="AZ22" s="21">
        <v>-0.60907699999999998</v>
      </c>
      <c r="BA22" s="3">
        <v>19.16</v>
      </c>
      <c r="BB22" s="3">
        <v>1</v>
      </c>
    </row>
    <row r="23" spans="1:54" s="3" customFormat="1" ht="63" customHeight="1" x14ac:dyDescent="0.25">
      <c r="A23" s="2">
        <v>21</v>
      </c>
      <c r="B23" s="3">
        <v>1</v>
      </c>
      <c r="C23" s="2">
        <v>1</v>
      </c>
      <c r="D23" s="9">
        <v>70</v>
      </c>
      <c r="E23" s="3" t="s">
        <v>16</v>
      </c>
      <c r="F23" s="3">
        <f t="shared" ref="F23:F30" si="4">IF(E23="Happy", 1,2)</f>
        <v>1</v>
      </c>
      <c r="G23" s="11"/>
      <c r="H23" s="3" t="s">
        <v>38</v>
      </c>
      <c r="I23" s="3">
        <f t="shared" si="1"/>
        <v>3</v>
      </c>
      <c r="J23" s="3" t="s">
        <v>40</v>
      </c>
      <c r="K23" s="3">
        <v>2</v>
      </c>
      <c r="L23" s="6" t="s">
        <v>158</v>
      </c>
      <c r="M23" s="3">
        <v>24</v>
      </c>
      <c r="N23" s="3">
        <f t="shared" si="2"/>
        <v>0.24</v>
      </c>
      <c r="O23" s="3">
        <v>66</v>
      </c>
      <c r="P23" s="3">
        <v>0.66</v>
      </c>
      <c r="Q23" s="17">
        <v>0.12333333333333329</v>
      </c>
      <c r="R23" s="21">
        <v>0.23623787446837</v>
      </c>
      <c r="S23" s="3">
        <v>3</v>
      </c>
      <c r="T23" s="3">
        <v>40.770000000000003</v>
      </c>
      <c r="U23" s="3">
        <v>63.36</v>
      </c>
      <c r="V23" s="26">
        <v>-0.42379892367453598</v>
      </c>
      <c r="W23" s="18">
        <v>-0.59857341093544802</v>
      </c>
      <c r="X23" s="18">
        <v>-0.37760282529267197</v>
      </c>
      <c r="Y23" s="18">
        <v>1.0483200724696</v>
      </c>
      <c r="Z23" s="18">
        <v>1.03461937306944</v>
      </c>
      <c r="AA23" s="18">
        <v>1.35012103801185</v>
      </c>
      <c r="AB23" s="18">
        <v>0.81313585590803406</v>
      </c>
      <c r="AC23" s="18">
        <v>-0.65334000570988804</v>
      </c>
      <c r="AD23" s="18">
        <v>-0.71258614983424495</v>
      </c>
      <c r="AE23" s="21">
        <v>-0.79915396158193897</v>
      </c>
      <c r="AF23" s="3">
        <v>2.34043</v>
      </c>
      <c r="AG23" s="3">
        <v>0.20564299999999999</v>
      </c>
      <c r="AH23" s="3">
        <v>4.9287200000000002</v>
      </c>
      <c r="AI23" s="3">
        <v>3.2446799999999998</v>
      </c>
      <c r="AJ23" s="3">
        <v>0.162966</v>
      </c>
      <c r="AK23" s="3">
        <v>1.2136199999999999</v>
      </c>
      <c r="AL23" s="3">
        <v>0</v>
      </c>
      <c r="AM23" s="3">
        <v>0</v>
      </c>
      <c r="AN23" s="3">
        <v>-0.50131499999999996</v>
      </c>
      <c r="AO23" s="3">
        <v>37.712800000000001</v>
      </c>
      <c r="AP23" s="3">
        <v>0.35994100000000001</v>
      </c>
      <c r="AQ23" s="3">
        <v>-0.141794</v>
      </c>
      <c r="AR23" s="3">
        <v>11.436199999999999</v>
      </c>
      <c r="AS23" s="3">
        <v>4.0960700000000003E-2</v>
      </c>
      <c r="AT23" s="3">
        <v>-5.2415300000000003E-3</v>
      </c>
      <c r="AU23" s="3">
        <v>54.946800000000003</v>
      </c>
      <c r="AV23" s="3">
        <v>0.97911599999999999</v>
      </c>
      <c r="AW23" s="3">
        <v>0.36105500000000001</v>
      </c>
      <c r="AX23" s="3">
        <v>0</v>
      </c>
      <c r="AY23" s="3">
        <v>0.13619500000000001</v>
      </c>
      <c r="AZ23" s="21">
        <v>-0.63808900000000002</v>
      </c>
      <c r="BA23" s="3">
        <v>22.59</v>
      </c>
      <c r="BB23" s="3">
        <v>2</v>
      </c>
    </row>
    <row r="24" spans="1:54" s="3" customFormat="1" ht="63" customHeight="1" x14ac:dyDescent="0.25">
      <c r="A24" s="2">
        <v>22</v>
      </c>
      <c r="B24" s="3">
        <v>1</v>
      </c>
      <c r="C24" s="2">
        <v>1</v>
      </c>
      <c r="D24" s="9">
        <v>70</v>
      </c>
      <c r="E24" s="3" t="s">
        <v>16</v>
      </c>
      <c r="F24" s="3">
        <f t="shared" si="4"/>
        <v>1</v>
      </c>
      <c r="G24" s="11"/>
      <c r="H24" s="3" t="s">
        <v>38</v>
      </c>
      <c r="I24" s="3">
        <f t="shared" si="1"/>
        <v>3</v>
      </c>
      <c r="J24" s="3" t="s">
        <v>41</v>
      </c>
      <c r="K24" s="3">
        <v>3</v>
      </c>
      <c r="L24" s="6" t="s">
        <v>159</v>
      </c>
      <c r="M24" s="3">
        <v>24</v>
      </c>
      <c r="N24" s="3">
        <f t="shared" si="2"/>
        <v>0.24</v>
      </c>
      <c r="O24" s="3">
        <v>66</v>
      </c>
      <c r="P24" s="3">
        <v>0.66</v>
      </c>
      <c r="Q24" s="17">
        <v>-3.1499999999999993E-2</v>
      </c>
      <c r="R24" s="21">
        <v>0.37971634149717598</v>
      </c>
      <c r="S24" s="3">
        <v>5</v>
      </c>
      <c r="T24" s="3">
        <v>65.7</v>
      </c>
      <c r="U24" s="3">
        <v>86.05</v>
      </c>
      <c r="V24" s="26">
        <v>-1.0949209827434401</v>
      </c>
      <c r="W24" s="18">
        <v>-1.18639603915829</v>
      </c>
      <c r="X24" s="18">
        <v>-0.35272613660352697</v>
      </c>
      <c r="Y24" s="18">
        <v>-0.41586294279500402</v>
      </c>
      <c r="Z24" s="18">
        <v>0.29076187751003602</v>
      </c>
      <c r="AA24" s="18">
        <v>0.39008792468683201</v>
      </c>
      <c r="AB24" s="18">
        <v>-1.49228547876019</v>
      </c>
      <c r="AC24" s="18">
        <v>-0.93010458166754895</v>
      </c>
      <c r="AD24" s="18">
        <v>-0.57153039412093798</v>
      </c>
      <c r="AE24" s="21">
        <v>-1.0985341772936601</v>
      </c>
      <c r="AF24" s="3">
        <v>0</v>
      </c>
      <c r="AG24" s="3">
        <v>0.26437899999999998</v>
      </c>
      <c r="AH24" s="3">
        <v>-7.90246E-3</v>
      </c>
      <c r="AI24" s="3">
        <v>1.00295</v>
      </c>
      <c r="AJ24" s="3">
        <v>6.6103300000000004E-2</v>
      </c>
      <c r="AK24" s="3">
        <v>0.60529599999999995</v>
      </c>
      <c r="AL24" s="3">
        <v>0</v>
      </c>
      <c r="AM24" s="3">
        <v>0</v>
      </c>
      <c r="AN24" s="3">
        <v>-0.50131499999999996</v>
      </c>
      <c r="AO24" s="3">
        <v>46.548699999999997</v>
      </c>
      <c r="AP24" s="3">
        <v>0.156664</v>
      </c>
      <c r="AQ24" s="3">
        <v>-0.55954400000000004</v>
      </c>
      <c r="AR24" s="3">
        <v>19.056000000000001</v>
      </c>
      <c r="AS24" s="3">
        <v>0.14941199999999999</v>
      </c>
      <c r="AT24" s="3">
        <v>0.56220999999999999</v>
      </c>
      <c r="AU24" s="3">
        <v>59.292000000000002</v>
      </c>
      <c r="AV24" s="3">
        <v>0.61028400000000005</v>
      </c>
      <c r="AW24" s="3">
        <v>0.106601</v>
      </c>
      <c r="AX24" s="3">
        <v>0</v>
      </c>
      <c r="AY24" s="3">
        <v>0.19794100000000001</v>
      </c>
      <c r="AZ24" s="21">
        <v>-0.38460699999999998</v>
      </c>
      <c r="BA24" s="3">
        <v>20.350000000000001</v>
      </c>
      <c r="BB24" s="3">
        <v>3</v>
      </c>
    </row>
    <row r="25" spans="1:54" s="3" customFormat="1" ht="47.25" customHeight="1" x14ac:dyDescent="0.25">
      <c r="A25" s="2">
        <v>23</v>
      </c>
      <c r="B25" s="3">
        <v>1</v>
      </c>
      <c r="C25" s="2">
        <v>1</v>
      </c>
      <c r="D25" s="9">
        <v>70</v>
      </c>
      <c r="E25" s="3" t="s">
        <v>16</v>
      </c>
      <c r="F25" s="3">
        <f t="shared" si="4"/>
        <v>1</v>
      </c>
      <c r="G25" s="11"/>
      <c r="H25" s="3" t="s">
        <v>38</v>
      </c>
      <c r="I25" s="3">
        <f t="shared" si="1"/>
        <v>3</v>
      </c>
      <c r="J25" s="3" t="s">
        <v>42</v>
      </c>
      <c r="K25" s="3">
        <v>4</v>
      </c>
      <c r="L25" s="6" t="s">
        <v>155</v>
      </c>
      <c r="M25" s="3">
        <v>24</v>
      </c>
      <c r="N25" s="3">
        <f t="shared" si="2"/>
        <v>0.24</v>
      </c>
      <c r="O25" s="3">
        <v>66</v>
      </c>
      <c r="P25" s="3">
        <v>0.66</v>
      </c>
      <c r="Q25" s="17">
        <v>7.4999999999999997E-2</v>
      </c>
      <c r="R25" s="21">
        <v>0.54141019569269289</v>
      </c>
      <c r="S25" s="3">
        <v>7</v>
      </c>
      <c r="T25" s="3">
        <v>86.58</v>
      </c>
      <c r="U25" s="3">
        <v>105.58</v>
      </c>
      <c r="V25" s="26">
        <v>-0.95733382031450298</v>
      </c>
      <c r="W25" s="18">
        <v>-1.1186326982360999</v>
      </c>
      <c r="X25" s="18">
        <v>-0.46862457020576098</v>
      </c>
      <c r="Y25" s="18">
        <v>-1.3215081304445699</v>
      </c>
      <c r="Z25" s="18">
        <v>-0.81550252822105695</v>
      </c>
      <c r="AA25" s="18">
        <v>-1.09126999191331</v>
      </c>
      <c r="AB25" s="18">
        <v>0.86437011061642</v>
      </c>
      <c r="AC25" s="18">
        <v>0.26143230920508798</v>
      </c>
      <c r="AD25" s="18">
        <v>1.34060741236535</v>
      </c>
      <c r="AE25" s="21">
        <v>0.74739308239618296</v>
      </c>
      <c r="AF25" s="3">
        <v>0</v>
      </c>
      <c r="AG25" s="3">
        <v>0.27684199999999998</v>
      </c>
      <c r="AH25" s="3">
        <v>-5.4025400000000001E-2</v>
      </c>
      <c r="AI25" s="3">
        <v>0</v>
      </c>
      <c r="AJ25" s="3">
        <v>0.216974</v>
      </c>
      <c r="AK25" s="3">
        <v>-0.74802000000000002</v>
      </c>
      <c r="AL25" s="3">
        <v>0</v>
      </c>
      <c r="AM25" s="3">
        <v>2.0492900000000001E-2</v>
      </c>
      <c r="AN25" s="3">
        <v>-0.47367900000000002</v>
      </c>
      <c r="AO25" s="3">
        <v>53.431600000000003</v>
      </c>
      <c r="AP25" s="3">
        <v>0.10886</v>
      </c>
      <c r="AQ25" s="3">
        <v>-0.98856100000000002</v>
      </c>
      <c r="AR25" s="3">
        <v>34.610500000000002</v>
      </c>
      <c r="AS25" s="3">
        <v>0.115734</v>
      </c>
      <c r="AT25" s="3">
        <v>0.19728100000000001</v>
      </c>
      <c r="AU25" s="3">
        <v>58.1053</v>
      </c>
      <c r="AV25" s="3">
        <v>0.38216800000000001</v>
      </c>
      <c r="AW25" s="3">
        <v>-0.75386799999999998</v>
      </c>
      <c r="AX25" s="3">
        <v>0</v>
      </c>
      <c r="AY25" s="3">
        <v>7.1842099999999999E-3</v>
      </c>
      <c r="AZ25" s="21">
        <v>-0.71541900000000003</v>
      </c>
      <c r="BA25" s="3">
        <v>19.003</v>
      </c>
      <c r="BB25" s="3">
        <v>4</v>
      </c>
    </row>
    <row r="26" spans="1:54" s="3" customFormat="1" ht="47.25" customHeight="1" x14ac:dyDescent="0.25">
      <c r="A26" s="2">
        <v>24</v>
      </c>
      <c r="B26" s="3">
        <v>1</v>
      </c>
      <c r="C26" s="2">
        <v>1</v>
      </c>
      <c r="D26" s="9">
        <v>70</v>
      </c>
      <c r="E26" s="3" t="s">
        <v>16</v>
      </c>
      <c r="F26" s="3">
        <f t="shared" si="4"/>
        <v>1</v>
      </c>
      <c r="G26" s="11"/>
      <c r="H26" s="3" t="s">
        <v>38</v>
      </c>
      <c r="I26" s="3">
        <f t="shared" si="1"/>
        <v>3</v>
      </c>
      <c r="J26" s="3" t="s">
        <v>43</v>
      </c>
      <c r="K26" s="3">
        <v>5</v>
      </c>
      <c r="L26" s="6" t="s">
        <v>146</v>
      </c>
      <c r="M26" s="3">
        <v>24</v>
      </c>
      <c r="N26" s="3">
        <f t="shared" si="2"/>
        <v>0.24</v>
      </c>
      <c r="O26" s="3">
        <v>66</v>
      </c>
      <c r="P26" s="3">
        <v>0.66</v>
      </c>
      <c r="Q26" s="17">
        <v>-3.6111111111111101E-2</v>
      </c>
      <c r="R26" s="21">
        <v>0.23926004758498731</v>
      </c>
      <c r="S26" s="3">
        <v>8</v>
      </c>
      <c r="T26" s="3">
        <v>105.58</v>
      </c>
      <c r="U26" s="3">
        <v>121.39</v>
      </c>
      <c r="V26" s="26">
        <v>-0.56607829626415096</v>
      </c>
      <c r="W26" s="18">
        <v>0.208952074554525</v>
      </c>
      <c r="X26" s="18">
        <v>-0.65790535306032605</v>
      </c>
      <c r="Y26" s="18">
        <v>-0.46999470239104602</v>
      </c>
      <c r="Z26" s="18">
        <v>-2.0011732887923199</v>
      </c>
      <c r="AA26" s="18">
        <v>-1.76226813748387</v>
      </c>
      <c r="AB26" s="18">
        <v>-1.2167136609383</v>
      </c>
      <c r="AC26" s="18">
        <v>0.17412598703198201</v>
      </c>
      <c r="AD26" s="18">
        <v>1.6704676112849699</v>
      </c>
      <c r="AE26" s="21">
        <v>-0.98871128409287601</v>
      </c>
      <c r="AF26" s="3">
        <v>0</v>
      </c>
      <c r="AG26" s="3">
        <v>0.15947900000000001</v>
      </c>
      <c r="AH26" s="3">
        <v>-0.42897400000000002</v>
      </c>
      <c r="AI26" s="3">
        <v>0</v>
      </c>
      <c r="AJ26" s="3">
        <v>0.27236100000000002</v>
      </c>
      <c r="AK26" s="3">
        <v>-0.59962000000000004</v>
      </c>
      <c r="AL26" s="3">
        <v>0</v>
      </c>
      <c r="AM26" s="3">
        <v>1.6264999999999999E-3</v>
      </c>
      <c r="AN26" s="3">
        <v>-0.50056100000000003</v>
      </c>
      <c r="AO26" s="3">
        <v>48.441099999999999</v>
      </c>
      <c r="AP26" s="3">
        <v>0.234204</v>
      </c>
      <c r="AQ26" s="3">
        <v>0.24219299999999999</v>
      </c>
      <c r="AR26" s="3">
        <v>32.471499999999999</v>
      </c>
      <c r="AS26" s="3">
        <v>0.33842100000000003</v>
      </c>
      <c r="AT26" s="3">
        <v>0.95232099999999997</v>
      </c>
      <c r="AU26" s="3">
        <v>58.022799999999997</v>
      </c>
      <c r="AV26" s="3">
        <v>0.837148</v>
      </c>
      <c r="AW26" s="3">
        <v>0.52455399999999996</v>
      </c>
      <c r="AX26" s="3">
        <v>0</v>
      </c>
      <c r="AY26" s="3">
        <v>0.114985</v>
      </c>
      <c r="AZ26" s="21">
        <v>-0.61063100000000003</v>
      </c>
      <c r="BA26" s="3">
        <v>15.807</v>
      </c>
      <c r="BB26" s="3">
        <v>5</v>
      </c>
    </row>
    <row r="27" spans="1:54" s="3" customFormat="1" ht="63" customHeight="1" x14ac:dyDescent="0.25">
      <c r="A27" s="2">
        <v>25</v>
      </c>
      <c r="B27" s="3">
        <v>1</v>
      </c>
      <c r="C27" s="2">
        <v>1</v>
      </c>
      <c r="D27" s="9">
        <v>70</v>
      </c>
      <c r="E27" s="3" t="s">
        <v>16</v>
      </c>
      <c r="F27" s="3">
        <f t="shared" si="4"/>
        <v>1</v>
      </c>
      <c r="G27" s="11"/>
      <c r="H27" s="3" t="s">
        <v>38</v>
      </c>
      <c r="I27" s="3">
        <f t="shared" si="1"/>
        <v>3</v>
      </c>
      <c r="J27" s="3" t="s">
        <v>44</v>
      </c>
      <c r="K27" s="3">
        <v>6</v>
      </c>
      <c r="L27" s="6" t="s">
        <v>154</v>
      </c>
      <c r="M27" s="3">
        <v>24</v>
      </c>
      <c r="N27" s="3">
        <f t="shared" si="2"/>
        <v>0.24</v>
      </c>
      <c r="O27" s="3">
        <v>66</v>
      </c>
      <c r="P27" s="3">
        <v>0.66</v>
      </c>
      <c r="Q27" s="17">
        <v>5.2499999999999991E-2</v>
      </c>
      <c r="R27" s="21">
        <v>0.1387443692551161</v>
      </c>
      <c r="S27" s="3">
        <v>9</v>
      </c>
      <c r="T27" s="3">
        <v>121.39</v>
      </c>
      <c r="U27" s="3">
        <v>160.35</v>
      </c>
      <c r="V27" s="26">
        <v>4.2370618328887799</v>
      </c>
      <c r="W27" s="18">
        <v>4.5528822723626599</v>
      </c>
      <c r="X27" s="18">
        <v>7.7726226411766204</v>
      </c>
      <c r="Y27" s="18">
        <v>-5.8871324232256002E-2</v>
      </c>
      <c r="Z27" s="18">
        <v>1.0348502054963</v>
      </c>
      <c r="AA27" s="18">
        <v>3.6604726704682899E-2</v>
      </c>
      <c r="AB27" s="18">
        <v>0.52392959984603904</v>
      </c>
      <c r="AC27" s="18">
        <v>-1.7614587102146999</v>
      </c>
      <c r="AD27" s="18">
        <v>2.2092830756556801</v>
      </c>
      <c r="AE27" s="21">
        <v>-0.54791528809522105</v>
      </c>
      <c r="AF27" s="3">
        <v>0.40061600000000003</v>
      </c>
      <c r="AG27" s="3">
        <v>5.3363099999999997E-2</v>
      </c>
      <c r="AH27" s="3">
        <v>3.8192900000000001</v>
      </c>
      <c r="AI27" s="3">
        <v>4.3759600000000001</v>
      </c>
      <c r="AJ27" s="3">
        <v>0.15098200000000001</v>
      </c>
      <c r="AK27" s="3">
        <v>1.1171599999999999</v>
      </c>
      <c r="AL27" s="3">
        <v>0</v>
      </c>
      <c r="AM27" s="3">
        <v>5.29255E-2</v>
      </c>
      <c r="AN27" s="3">
        <v>-0.19276199999999999</v>
      </c>
      <c r="AO27" s="3">
        <v>48.443800000000003</v>
      </c>
      <c r="AP27" s="3">
        <v>0.16626299999999999</v>
      </c>
      <c r="AQ27" s="3">
        <v>-0.38385200000000003</v>
      </c>
      <c r="AR27" s="3">
        <v>26.964600000000001</v>
      </c>
      <c r="AS27" s="3">
        <v>0.27667399999999998</v>
      </c>
      <c r="AT27" s="3">
        <v>0.59076399999999996</v>
      </c>
      <c r="AU27" s="3">
        <v>57.257300000000001</v>
      </c>
      <c r="AV27" s="3">
        <v>0.67055500000000001</v>
      </c>
      <c r="AW27" s="3">
        <v>0.45423400000000003</v>
      </c>
      <c r="AX27" s="3">
        <v>0</v>
      </c>
      <c r="AY27" s="3">
        <v>0.161632</v>
      </c>
      <c r="AZ27" s="21">
        <v>-0.52727100000000005</v>
      </c>
      <c r="BA27" s="3">
        <v>38.96</v>
      </c>
      <c r="BB27" s="3">
        <v>6</v>
      </c>
    </row>
    <row r="28" spans="1:54" s="3" customFormat="1" ht="63" customHeight="1" x14ac:dyDescent="0.25">
      <c r="A28" s="2">
        <v>26</v>
      </c>
      <c r="B28" s="3">
        <v>1</v>
      </c>
      <c r="C28" s="2">
        <v>1</v>
      </c>
      <c r="D28" s="9">
        <v>70</v>
      </c>
      <c r="E28" s="3" t="s">
        <v>16</v>
      </c>
      <c r="F28" s="3">
        <f t="shared" si="4"/>
        <v>1</v>
      </c>
      <c r="G28" s="11"/>
      <c r="H28" s="3" t="s">
        <v>38</v>
      </c>
      <c r="I28" s="3">
        <f t="shared" si="1"/>
        <v>3</v>
      </c>
      <c r="J28" s="3" t="s">
        <v>45</v>
      </c>
      <c r="K28" s="3">
        <v>7</v>
      </c>
      <c r="L28" s="6" t="s">
        <v>160</v>
      </c>
      <c r="M28" s="3">
        <v>24</v>
      </c>
      <c r="N28" s="3">
        <f t="shared" si="2"/>
        <v>0.24</v>
      </c>
      <c r="O28" s="3">
        <v>66</v>
      </c>
      <c r="P28" s="3">
        <v>0.66</v>
      </c>
      <c r="Q28" s="17">
        <v>-0.1216666666666666</v>
      </c>
      <c r="R28" s="21">
        <v>0.15994211916028081</v>
      </c>
      <c r="S28" s="3">
        <v>10</v>
      </c>
      <c r="T28" s="3">
        <v>160.35</v>
      </c>
      <c r="U28" s="3">
        <v>188.42</v>
      </c>
      <c r="V28" s="26">
        <v>-0.183340153701121</v>
      </c>
      <c r="W28" s="18">
        <v>-0.30649353847056998</v>
      </c>
      <c r="X28" s="18">
        <v>-0.118950594020598</v>
      </c>
      <c r="Y28" s="18">
        <v>0.25881492252680799</v>
      </c>
      <c r="Z28" s="18">
        <v>-1.0297150203480201</v>
      </c>
      <c r="AA28" s="18">
        <v>-0.88426841434865899</v>
      </c>
      <c r="AB28" s="18">
        <v>-1.3668126087885399</v>
      </c>
      <c r="AC28" s="18">
        <v>-0.417931056044751</v>
      </c>
      <c r="AD28" s="18">
        <v>0.51048114815194201</v>
      </c>
      <c r="AE28" s="21">
        <v>2.8278795410246998E-2</v>
      </c>
      <c r="AF28" s="3">
        <v>0</v>
      </c>
      <c r="AG28" s="3">
        <v>0.32038</v>
      </c>
      <c r="AH28" s="3">
        <v>1.8446799999999999E-2</v>
      </c>
      <c r="AI28" s="3">
        <v>3.7660499999999999</v>
      </c>
      <c r="AJ28" s="3">
        <v>3.9833E-2</v>
      </c>
      <c r="AK28" s="3">
        <v>0.574959</v>
      </c>
      <c r="AL28" s="3">
        <v>0</v>
      </c>
      <c r="AM28" s="3">
        <v>0</v>
      </c>
      <c r="AN28" s="3">
        <v>-0.50131499999999996</v>
      </c>
      <c r="AO28" s="3">
        <v>48.487900000000003</v>
      </c>
      <c r="AP28" s="3">
        <v>0.32292199999999999</v>
      </c>
      <c r="AQ28" s="3">
        <v>0.30586600000000003</v>
      </c>
      <c r="AR28" s="3">
        <v>21.9544</v>
      </c>
      <c r="AS28" s="3">
        <v>0.17236899999999999</v>
      </c>
      <c r="AT28" s="3">
        <v>0.51784399999999997</v>
      </c>
      <c r="AU28" s="3">
        <v>58.844499999999996</v>
      </c>
      <c r="AV28" s="3">
        <v>0.69696899999999995</v>
      </c>
      <c r="AW28" s="3">
        <v>-0.20736099999999999</v>
      </c>
      <c r="AX28" s="3">
        <v>0</v>
      </c>
      <c r="AY28" s="3">
        <v>0.14452899999999999</v>
      </c>
      <c r="AZ28" s="21">
        <v>-0.50895299999999999</v>
      </c>
      <c r="BA28" s="3">
        <v>28.07</v>
      </c>
      <c r="BB28" s="3">
        <v>7</v>
      </c>
    </row>
    <row r="29" spans="1:54" s="3" customFormat="1" ht="47.25" customHeight="1" x14ac:dyDescent="0.25">
      <c r="A29" s="2">
        <v>27</v>
      </c>
      <c r="B29" s="3">
        <v>1</v>
      </c>
      <c r="C29" s="2">
        <v>1</v>
      </c>
      <c r="D29" s="9">
        <v>70</v>
      </c>
      <c r="E29" s="3" t="s">
        <v>16</v>
      </c>
      <c r="F29" s="3">
        <f t="shared" si="4"/>
        <v>1</v>
      </c>
      <c r="G29" s="11"/>
      <c r="H29" s="3" t="s">
        <v>38</v>
      </c>
      <c r="I29" s="3">
        <f t="shared" si="1"/>
        <v>3</v>
      </c>
      <c r="J29" s="3" t="s">
        <v>46</v>
      </c>
      <c r="K29" s="3">
        <v>8</v>
      </c>
      <c r="L29" s="6" t="s">
        <v>146</v>
      </c>
      <c r="M29" s="3">
        <v>24</v>
      </c>
      <c r="N29" s="3">
        <f t="shared" si="2"/>
        <v>0.24</v>
      </c>
      <c r="O29" s="3">
        <v>66</v>
      </c>
      <c r="P29" s="3">
        <v>0.66</v>
      </c>
      <c r="Q29" s="17">
        <v>-0.31666666666666671</v>
      </c>
      <c r="R29" s="21">
        <v>0.36780127484523178</v>
      </c>
      <c r="S29" s="3">
        <v>12</v>
      </c>
      <c r="T29" s="3">
        <v>189.41</v>
      </c>
      <c r="U29" s="3">
        <v>205.9</v>
      </c>
      <c r="V29" s="26">
        <v>-1.1427611254686301</v>
      </c>
      <c r="W29" s="18">
        <v>-1.2951758795944099</v>
      </c>
      <c r="X29" s="18">
        <v>-0.53451794106356598</v>
      </c>
      <c r="Y29" s="18">
        <v>-0.53833508362142002</v>
      </c>
      <c r="Z29" s="18">
        <v>0.58230323263541295</v>
      </c>
      <c r="AA29" s="18">
        <v>1.1825863290533101</v>
      </c>
      <c r="AB29" s="18">
        <v>-2.1669198854244298</v>
      </c>
      <c r="AC29" s="18">
        <v>-0.681617357021015</v>
      </c>
      <c r="AD29" s="18">
        <v>-4.0161972753729999E-2</v>
      </c>
      <c r="AE29" s="21">
        <v>-1.1451712963241301</v>
      </c>
      <c r="AF29" s="3">
        <v>0</v>
      </c>
      <c r="AG29" s="3">
        <v>0.18734200000000001</v>
      </c>
      <c r="AH29" s="3">
        <v>-0.31625799999999998</v>
      </c>
      <c r="AI29" s="3">
        <v>0.58323199999999997</v>
      </c>
      <c r="AJ29" s="3">
        <v>6.8334800000000001E-2</v>
      </c>
      <c r="AK29" s="3">
        <v>0.68964499999999995</v>
      </c>
      <c r="AL29" s="3">
        <v>0</v>
      </c>
      <c r="AM29" s="3">
        <v>0</v>
      </c>
      <c r="AN29" s="3">
        <v>-0.50131499999999996</v>
      </c>
      <c r="AO29" s="3">
        <v>52.563800000000001</v>
      </c>
      <c r="AP29" s="3">
        <v>0.30551800000000001</v>
      </c>
      <c r="AQ29" s="3">
        <v>9.5784999999999995E-2</v>
      </c>
      <c r="AR29" s="3">
        <v>6.99878</v>
      </c>
      <c r="AS29" s="3">
        <v>4.3140600000000001E-2</v>
      </c>
      <c r="AT29" s="3">
        <v>1.8603399999999999E-2</v>
      </c>
      <c r="AU29" s="3">
        <v>57.594200000000001</v>
      </c>
      <c r="AV29" s="3">
        <v>0.40517599999999998</v>
      </c>
      <c r="AW29" s="3">
        <v>-0.775926</v>
      </c>
      <c r="AX29" s="3">
        <v>0</v>
      </c>
      <c r="AY29" s="3">
        <v>3.92196E-2</v>
      </c>
      <c r="AZ29" s="21">
        <v>-0.65391100000000002</v>
      </c>
      <c r="BA29" s="3">
        <v>16.489999999999998</v>
      </c>
      <c r="BB29" s="3">
        <v>8</v>
      </c>
    </row>
    <row r="30" spans="1:54" s="3" customFormat="1" ht="94.5" customHeight="1" x14ac:dyDescent="0.25">
      <c r="A30" s="2">
        <v>28</v>
      </c>
      <c r="B30" s="3">
        <v>1</v>
      </c>
      <c r="C30" s="2">
        <v>1</v>
      </c>
      <c r="D30" s="9">
        <v>70</v>
      </c>
      <c r="E30" s="3" t="s">
        <v>16</v>
      </c>
      <c r="F30" s="3">
        <f t="shared" si="4"/>
        <v>1</v>
      </c>
      <c r="G30" s="11"/>
      <c r="H30" s="3" t="s">
        <v>38</v>
      </c>
      <c r="I30" s="3">
        <f t="shared" si="1"/>
        <v>3</v>
      </c>
      <c r="J30" s="3" t="s">
        <v>47</v>
      </c>
      <c r="K30" s="3">
        <v>9</v>
      </c>
      <c r="L30" s="6" t="s">
        <v>161</v>
      </c>
      <c r="M30" s="3">
        <v>24</v>
      </c>
      <c r="N30" s="3">
        <f t="shared" si="2"/>
        <v>0.24</v>
      </c>
      <c r="O30" s="3">
        <v>66</v>
      </c>
      <c r="P30" s="3">
        <v>0.66</v>
      </c>
      <c r="Q30" s="17">
        <v>0.1166666666666667</v>
      </c>
      <c r="R30" s="21">
        <v>0</v>
      </c>
      <c r="S30" s="3">
        <v>14</v>
      </c>
      <c r="T30" s="3">
        <v>207.85</v>
      </c>
      <c r="U30" s="3">
        <v>214.01</v>
      </c>
      <c r="V30" s="26">
        <v>-0.44992909402586101</v>
      </c>
      <c r="W30" s="18">
        <v>-1.2233444002062701</v>
      </c>
      <c r="X30" s="18">
        <v>-0.43274334050785501</v>
      </c>
      <c r="Y30" s="18">
        <v>-1.0228954138141999</v>
      </c>
      <c r="Z30" s="18">
        <v>0.77354789828970905</v>
      </c>
      <c r="AA30" s="18">
        <v>1.08333605450267</v>
      </c>
      <c r="AB30" s="18">
        <v>-0.39768634885909798</v>
      </c>
      <c r="AC30" s="18">
        <v>-4.1420582237202401</v>
      </c>
      <c r="AD30" s="18">
        <v>-1.2952077495196399</v>
      </c>
      <c r="AE30" s="21">
        <v>8.9960146386028006E-2</v>
      </c>
      <c r="AF30" s="3">
        <v>0</v>
      </c>
      <c r="AG30" s="3">
        <v>0.26568599999999998</v>
      </c>
      <c r="AH30" s="3">
        <v>-8.2010700000000006E-2</v>
      </c>
      <c r="AI30" s="3">
        <v>0</v>
      </c>
      <c r="AJ30" s="3">
        <v>0.16292999999999999</v>
      </c>
      <c r="AK30" s="3">
        <v>-0.69565699999999997</v>
      </c>
      <c r="AL30" s="3">
        <v>0</v>
      </c>
      <c r="AM30" s="3">
        <v>1.1704900000000001E-2</v>
      </c>
      <c r="AN30" s="3">
        <v>-0.48985400000000001</v>
      </c>
      <c r="AO30" s="3">
        <v>57.459299999999999</v>
      </c>
      <c r="AP30" s="3">
        <v>0.25984000000000002</v>
      </c>
      <c r="AQ30" s="3">
        <v>-0.28606100000000001</v>
      </c>
      <c r="AR30" s="3">
        <v>24.43</v>
      </c>
      <c r="AS30" s="3">
        <v>0.11523600000000001</v>
      </c>
      <c r="AT30" s="3">
        <v>0.20080300000000001</v>
      </c>
      <c r="AU30" s="3">
        <v>60</v>
      </c>
      <c r="AV30" s="3">
        <v>0.50646100000000005</v>
      </c>
      <c r="AW30" s="3">
        <v>-0.58220899999999998</v>
      </c>
      <c r="AX30" s="3">
        <v>0</v>
      </c>
      <c r="AY30" s="3">
        <v>0.232318</v>
      </c>
      <c r="AZ30" s="21">
        <v>-3.22618E-2</v>
      </c>
      <c r="BA30" s="3">
        <v>6.16</v>
      </c>
      <c r="BB30" s="3">
        <v>9</v>
      </c>
    </row>
    <row r="31" spans="1:54" s="3" customFormat="1" ht="110.25" customHeight="1" x14ac:dyDescent="0.25">
      <c r="A31" s="2">
        <v>29</v>
      </c>
      <c r="B31" s="3">
        <v>1</v>
      </c>
      <c r="C31" s="2">
        <v>1</v>
      </c>
      <c r="D31" s="9">
        <v>70</v>
      </c>
      <c r="E31" s="3" t="s">
        <v>16</v>
      </c>
      <c r="F31" s="3">
        <f>IF(E32="Happy", 1,2)</f>
        <v>1</v>
      </c>
      <c r="G31" s="11"/>
      <c r="H31" s="3" t="s">
        <v>38</v>
      </c>
      <c r="I31" s="3">
        <f t="shared" si="1"/>
        <v>3</v>
      </c>
      <c r="J31" s="3" t="s">
        <v>48</v>
      </c>
      <c r="K31" s="3">
        <v>10</v>
      </c>
      <c r="L31" s="6" t="s">
        <v>162</v>
      </c>
      <c r="M31" s="3">
        <v>24</v>
      </c>
      <c r="N31" s="3">
        <f t="shared" si="2"/>
        <v>0.24</v>
      </c>
      <c r="O31" s="3">
        <v>66</v>
      </c>
      <c r="P31" s="3">
        <v>0.66</v>
      </c>
      <c r="Q31" s="17">
        <v>0.25648148148148148</v>
      </c>
      <c r="R31" s="21">
        <v>0.26864237245794897</v>
      </c>
      <c r="S31" s="3">
        <v>16</v>
      </c>
      <c r="T31" s="3">
        <v>215.52</v>
      </c>
      <c r="U31" s="3">
        <v>255.54</v>
      </c>
      <c r="V31" s="26">
        <v>0.40871136385573398</v>
      </c>
      <c r="W31" s="18">
        <v>-0.85818610935985695</v>
      </c>
      <c r="X31" s="18">
        <v>-1.9141281323872699E-2</v>
      </c>
      <c r="Y31" s="18">
        <v>0.37132558405523503</v>
      </c>
      <c r="Z31" s="18">
        <v>-0.456327272025422</v>
      </c>
      <c r="AA31" s="18">
        <v>-0.53658555708700195</v>
      </c>
      <c r="AB31" s="18">
        <v>0.23538404343444699</v>
      </c>
      <c r="AC31" s="18">
        <v>0.56046529932026201</v>
      </c>
      <c r="AD31" s="18">
        <v>-1.03718961251611</v>
      </c>
      <c r="AE31" s="21">
        <v>-0.65924260449053296</v>
      </c>
      <c r="AF31" s="3">
        <v>0.54</v>
      </c>
      <c r="AG31" s="3">
        <v>0.22883200000000001</v>
      </c>
      <c r="AH31" s="3">
        <v>5.5854299999999997</v>
      </c>
      <c r="AI31" s="3">
        <v>3.99</v>
      </c>
      <c r="AJ31" s="3">
        <v>4.1054300000000002E-2</v>
      </c>
      <c r="AK31" s="3">
        <v>0.62285199999999996</v>
      </c>
      <c r="AL31" s="3">
        <v>0</v>
      </c>
      <c r="AM31" s="3">
        <v>0</v>
      </c>
      <c r="AN31" s="3">
        <v>-0.50131499999999996</v>
      </c>
      <c r="AO31" s="3">
        <v>45.03</v>
      </c>
      <c r="AP31" s="3">
        <v>0.14967800000000001</v>
      </c>
      <c r="AQ31" s="3">
        <v>-0.41021800000000003</v>
      </c>
      <c r="AR31" s="3">
        <v>32.79</v>
      </c>
      <c r="AS31" s="3">
        <v>4.8635900000000003E-2</v>
      </c>
      <c r="AT31" s="3">
        <v>-7.5331099999999998E-2</v>
      </c>
      <c r="AU31" s="3">
        <v>56.34</v>
      </c>
      <c r="AV31" s="3">
        <v>0.335536</v>
      </c>
      <c r="AW31" s="3">
        <v>-0.45962799999999998</v>
      </c>
      <c r="AX31" s="3">
        <v>0.39</v>
      </c>
      <c r="AY31" s="3">
        <v>0.25423600000000002</v>
      </c>
      <c r="AZ31" s="21">
        <v>5.75305</v>
      </c>
      <c r="BA31" s="3">
        <v>40.020000000000003</v>
      </c>
      <c r="BB31" s="3">
        <v>10</v>
      </c>
    </row>
    <row r="32" spans="1:54" s="3" customFormat="1" ht="63" customHeight="1" x14ac:dyDescent="0.25">
      <c r="A32" s="2">
        <v>30</v>
      </c>
      <c r="B32" s="3">
        <v>1</v>
      </c>
      <c r="C32" s="2">
        <v>1</v>
      </c>
      <c r="D32" s="9">
        <v>70</v>
      </c>
      <c r="E32" s="3" t="s">
        <v>16</v>
      </c>
      <c r="F32" s="3">
        <f>IF(E33="Happy", 1,2)</f>
        <v>1</v>
      </c>
      <c r="G32" s="11"/>
      <c r="H32" s="3" t="s">
        <v>38</v>
      </c>
      <c r="I32" s="3">
        <f t="shared" si="1"/>
        <v>3</v>
      </c>
      <c r="J32" s="3" t="s">
        <v>49</v>
      </c>
      <c r="K32" s="3">
        <v>11</v>
      </c>
      <c r="L32" s="6" t="s">
        <v>161</v>
      </c>
      <c r="M32" s="3">
        <v>24</v>
      </c>
      <c r="N32" s="3">
        <f t="shared" si="2"/>
        <v>0.24</v>
      </c>
      <c r="O32" s="3">
        <v>66</v>
      </c>
      <c r="P32" s="3">
        <v>0.66</v>
      </c>
      <c r="Q32" s="17">
        <v>-0.1249999999999999</v>
      </c>
      <c r="R32" s="21">
        <v>0</v>
      </c>
      <c r="S32" s="3">
        <v>18</v>
      </c>
      <c r="T32" s="3">
        <v>256.06</v>
      </c>
      <c r="U32" s="3">
        <v>261.89</v>
      </c>
      <c r="V32" s="26">
        <v>-1.4540280668885499</v>
      </c>
      <c r="W32" s="18">
        <v>-1.19147731555637</v>
      </c>
      <c r="X32" s="18">
        <v>-0.35212905323492499</v>
      </c>
      <c r="Y32" s="18">
        <v>-0.40937639813584797</v>
      </c>
      <c r="Z32" s="18">
        <v>-1.6842403667122401</v>
      </c>
      <c r="AA32" s="18">
        <v>-1.4431573289564801</v>
      </c>
      <c r="AB32" s="18">
        <v>-1.81542767141098</v>
      </c>
      <c r="AC32" s="18">
        <v>0.89519844546573402</v>
      </c>
      <c r="AD32" s="18">
        <v>-1.8305187230651701</v>
      </c>
      <c r="AE32" s="21">
        <v>2.9423465232172701</v>
      </c>
      <c r="AF32" s="3">
        <v>0</v>
      </c>
      <c r="AG32" s="3">
        <v>0.21008599999999999</v>
      </c>
      <c r="AH32" s="3">
        <v>0.66148200000000001</v>
      </c>
      <c r="AI32" s="3">
        <v>0</v>
      </c>
      <c r="AJ32" s="3">
        <v>0.300535</v>
      </c>
      <c r="AK32" s="3">
        <v>-0.69780399999999998</v>
      </c>
      <c r="AL32" s="3">
        <v>0</v>
      </c>
      <c r="AM32" s="3">
        <v>0</v>
      </c>
      <c r="AN32" s="3">
        <v>-0.50131499999999996</v>
      </c>
      <c r="AO32" s="3">
        <v>54.433</v>
      </c>
      <c r="AP32" s="3">
        <v>0.23511899999999999</v>
      </c>
      <c r="AQ32" s="3">
        <v>-0.31574600000000003</v>
      </c>
      <c r="AR32" s="3">
        <v>42.886600000000001</v>
      </c>
      <c r="AS32" s="3">
        <v>0.16470199999999999</v>
      </c>
      <c r="AT32" s="3">
        <v>0.237182</v>
      </c>
      <c r="AU32" s="3">
        <v>57.525799999999997</v>
      </c>
      <c r="AV32" s="3">
        <v>0.69599</v>
      </c>
      <c r="AW32" s="3">
        <v>-0.34478900000000001</v>
      </c>
      <c r="AX32" s="3">
        <v>0</v>
      </c>
      <c r="AY32" s="3">
        <v>0.280866</v>
      </c>
      <c r="AZ32" s="21">
        <v>0.19530600000000001</v>
      </c>
      <c r="BA32" s="3">
        <v>5.8330000000000002</v>
      </c>
      <c r="BB32" s="3">
        <v>11</v>
      </c>
    </row>
    <row r="33" spans="1:54" s="3" customFormat="1" ht="63" customHeight="1" x14ac:dyDescent="0.25">
      <c r="A33" s="2">
        <v>31</v>
      </c>
      <c r="B33" s="3">
        <v>1</v>
      </c>
      <c r="C33" s="2">
        <v>1</v>
      </c>
      <c r="D33" s="9">
        <v>70</v>
      </c>
      <c r="E33" s="3" t="s">
        <v>16</v>
      </c>
      <c r="F33" s="3">
        <f t="shared" ref="F33:F40" si="5">IF(E33="Happy", 1,2)</f>
        <v>1</v>
      </c>
      <c r="G33" s="11"/>
      <c r="H33" s="3" t="s">
        <v>38</v>
      </c>
      <c r="I33" s="3">
        <f t="shared" si="1"/>
        <v>3</v>
      </c>
      <c r="J33" s="3" t="s">
        <v>50</v>
      </c>
      <c r="K33" s="3">
        <v>12</v>
      </c>
      <c r="L33" s="6" t="s">
        <v>152</v>
      </c>
      <c r="M33" s="3">
        <v>24</v>
      </c>
      <c r="N33" s="3">
        <f t="shared" si="2"/>
        <v>0.24</v>
      </c>
      <c r="O33" s="3">
        <v>66</v>
      </c>
      <c r="P33" s="3">
        <v>0.66</v>
      </c>
      <c r="Q33" s="17">
        <v>-1.4999999999999999E-2</v>
      </c>
      <c r="R33" s="21">
        <v>0.2147673159491453</v>
      </c>
      <c r="S33" s="3">
        <v>20</v>
      </c>
      <c r="T33" s="3">
        <v>263.52</v>
      </c>
      <c r="U33" s="3">
        <v>287.3</v>
      </c>
      <c r="V33" s="26">
        <v>1.3980196742554101</v>
      </c>
      <c r="W33" s="18">
        <v>0.63229565618013595</v>
      </c>
      <c r="X33" s="18">
        <v>-3.64807965483811E-2</v>
      </c>
      <c r="Y33" s="18">
        <v>-0.18211567275618801</v>
      </c>
      <c r="Z33" s="18">
        <v>0.96167632618138299</v>
      </c>
      <c r="AA33" s="18">
        <v>1.1303832625688801</v>
      </c>
      <c r="AB33" s="18">
        <v>0.89644407546317095</v>
      </c>
      <c r="AC33" s="18">
        <v>-0.34617727709276502</v>
      </c>
      <c r="AD33" s="18">
        <v>-0.82516791759300201</v>
      </c>
      <c r="AE33" s="21">
        <v>0.89933982504383903</v>
      </c>
      <c r="AF33" s="3">
        <v>0</v>
      </c>
      <c r="AG33" s="3">
        <v>0.25449300000000002</v>
      </c>
      <c r="AH33" s="3">
        <v>-0.341862</v>
      </c>
      <c r="AI33" s="3">
        <v>8.88889</v>
      </c>
      <c r="AJ33" s="3">
        <v>0.133909</v>
      </c>
      <c r="AK33" s="3">
        <v>0.86918200000000001</v>
      </c>
      <c r="AL33" s="3">
        <v>0</v>
      </c>
      <c r="AM33" s="3">
        <v>0</v>
      </c>
      <c r="AN33" s="3">
        <v>-0.50131499999999996</v>
      </c>
      <c r="AO33" s="3">
        <v>47.878799999999998</v>
      </c>
      <c r="AP33" s="3">
        <v>9.8186599999999999E-2</v>
      </c>
      <c r="AQ33" s="3">
        <v>-0.90702199999999999</v>
      </c>
      <c r="AR33" s="3">
        <v>22.525300000000001</v>
      </c>
      <c r="AS33" s="3">
        <v>2.8809700000000001E-2</v>
      </c>
      <c r="AT33" s="3">
        <v>-7.7769699999999997E-2</v>
      </c>
      <c r="AU33" s="3">
        <v>59.141399999999997</v>
      </c>
      <c r="AV33" s="3">
        <v>0.54681999999999997</v>
      </c>
      <c r="AW33" s="3">
        <v>0.56767999999999996</v>
      </c>
      <c r="AX33" s="3">
        <v>0</v>
      </c>
      <c r="AY33" s="3">
        <v>0.230906</v>
      </c>
      <c r="AZ33" s="21">
        <v>-0.29290699999999997</v>
      </c>
      <c r="BA33" s="3">
        <v>23.779</v>
      </c>
      <c r="BB33" s="3">
        <v>12</v>
      </c>
    </row>
    <row r="34" spans="1:54" s="3" customFormat="1" ht="78.75" customHeight="1" x14ac:dyDescent="0.25">
      <c r="A34" s="2">
        <v>32</v>
      </c>
      <c r="B34" s="3">
        <v>1</v>
      </c>
      <c r="C34" s="2">
        <v>1</v>
      </c>
      <c r="D34" s="9">
        <v>70</v>
      </c>
      <c r="E34" s="3" t="s">
        <v>16</v>
      </c>
      <c r="F34" s="3">
        <f t="shared" si="5"/>
        <v>1</v>
      </c>
      <c r="G34" s="11"/>
      <c r="H34" s="3" t="s">
        <v>38</v>
      </c>
      <c r="I34" s="3">
        <f t="shared" si="1"/>
        <v>3</v>
      </c>
      <c r="J34" s="3" t="s">
        <v>51</v>
      </c>
      <c r="K34" s="3">
        <v>13</v>
      </c>
      <c r="L34" s="6" t="s">
        <v>163</v>
      </c>
      <c r="M34" s="3">
        <v>24</v>
      </c>
      <c r="N34" s="3">
        <f t="shared" si="2"/>
        <v>0.24</v>
      </c>
      <c r="O34" s="3">
        <v>66</v>
      </c>
      <c r="P34" s="3">
        <v>0.66</v>
      </c>
      <c r="Q34" s="17">
        <v>0.15</v>
      </c>
      <c r="R34" s="21">
        <v>0.30413812651491101</v>
      </c>
      <c r="S34" s="3">
        <v>22</v>
      </c>
      <c r="T34" s="3">
        <v>293.05</v>
      </c>
      <c r="U34" s="3">
        <v>329.14</v>
      </c>
      <c r="V34" s="26">
        <v>-4.1861295226822502E-3</v>
      </c>
      <c r="W34" s="18">
        <v>0.211095250949419</v>
      </c>
      <c r="X34" s="18">
        <v>-0.24343578261433901</v>
      </c>
      <c r="Y34" s="18">
        <v>-0.22165270686913099</v>
      </c>
      <c r="Z34" s="18">
        <v>0.65305337146829501</v>
      </c>
      <c r="AA34" s="18">
        <v>0.69683081093718702</v>
      </c>
      <c r="AB34" s="18">
        <v>-1.07490349052036</v>
      </c>
      <c r="AC34" s="18">
        <v>-0.337694071699427</v>
      </c>
      <c r="AD34" s="18">
        <v>0.244139845438618</v>
      </c>
      <c r="AE34" s="21">
        <v>-0.62614529421084497</v>
      </c>
      <c r="AF34" s="3">
        <v>0</v>
      </c>
      <c r="AG34" s="3">
        <v>0.28657100000000002</v>
      </c>
      <c r="AH34" s="3">
        <v>-0.112238</v>
      </c>
      <c r="AI34" s="3">
        <v>7.08819</v>
      </c>
      <c r="AJ34" s="3">
        <v>8.18942E-2</v>
      </c>
      <c r="AK34" s="3">
        <v>0.68150599999999995</v>
      </c>
      <c r="AL34" s="3">
        <v>0</v>
      </c>
      <c r="AM34" s="3">
        <v>0</v>
      </c>
      <c r="AN34" s="3">
        <v>-0.50131499999999996</v>
      </c>
      <c r="AO34" s="3">
        <v>53.876899999999999</v>
      </c>
      <c r="AP34" s="3">
        <v>0.30520000000000003</v>
      </c>
      <c r="AQ34" s="3">
        <v>0.66369100000000003</v>
      </c>
      <c r="AR34" s="3">
        <v>33.677199999999999</v>
      </c>
      <c r="AS34" s="3">
        <v>0.32369700000000001</v>
      </c>
      <c r="AT34" s="3">
        <v>1.33996</v>
      </c>
      <c r="AU34" s="3">
        <v>56.905200000000001</v>
      </c>
      <c r="AV34" s="3">
        <v>0.602047</v>
      </c>
      <c r="AW34" s="3">
        <v>0.40878199999999998</v>
      </c>
      <c r="AX34" s="3">
        <v>0</v>
      </c>
      <c r="AY34" s="3">
        <v>0.26693699999999998</v>
      </c>
      <c r="AZ34" s="21">
        <v>-0.27698699999999998</v>
      </c>
      <c r="BA34" s="3">
        <v>36.088000000000001</v>
      </c>
      <c r="BB34" s="3">
        <v>13</v>
      </c>
    </row>
    <row r="35" spans="1:54" s="3" customFormat="1" ht="78.75" customHeight="1" x14ac:dyDescent="0.25">
      <c r="A35" s="2">
        <v>33</v>
      </c>
      <c r="B35" s="3">
        <v>1</v>
      </c>
      <c r="C35" s="2">
        <v>1</v>
      </c>
      <c r="D35" s="9">
        <v>70</v>
      </c>
      <c r="E35" s="3" t="s">
        <v>16</v>
      </c>
      <c r="F35" s="3">
        <f t="shared" si="5"/>
        <v>1</v>
      </c>
      <c r="G35" s="11"/>
      <c r="H35" s="3" t="s">
        <v>38</v>
      </c>
      <c r="I35" s="3">
        <f t="shared" si="1"/>
        <v>3</v>
      </c>
      <c r="J35" s="3" t="s">
        <v>52</v>
      </c>
      <c r="K35" s="3">
        <v>14</v>
      </c>
      <c r="L35" s="6" t="s">
        <v>164</v>
      </c>
      <c r="M35" s="3">
        <v>24</v>
      </c>
      <c r="N35" s="3">
        <f t="shared" si="2"/>
        <v>0.24</v>
      </c>
      <c r="O35" s="3">
        <v>66</v>
      </c>
      <c r="P35" s="3">
        <v>0.66</v>
      </c>
      <c r="Q35" s="17">
        <v>0.36995833333333328</v>
      </c>
      <c r="R35" s="21">
        <v>0.56101660989143098</v>
      </c>
      <c r="S35" s="3">
        <v>24</v>
      </c>
      <c r="T35" s="3">
        <v>331.3</v>
      </c>
      <c r="U35" s="3">
        <v>364.18</v>
      </c>
      <c r="V35" s="26">
        <v>0.842774805241568</v>
      </c>
      <c r="W35" s="18">
        <v>0.93460042839083501</v>
      </c>
      <c r="X35" s="18">
        <v>0.25596153387954401</v>
      </c>
      <c r="Y35" s="18">
        <v>0.143910417136071</v>
      </c>
      <c r="Z35" s="18">
        <v>-0.44720939116441499</v>
      </c>
      <c r="AA35" s="18">
        <v>-0.58869655467110305</v>
      </c>
      <c r="AB35" s="18">
        <v>-1.4790114221475901</v>
      </c>
      <c r="AC35" s="18">
        <v>-0.29810577986384801</v>
      </c>
      <c r="AD35" s="18">
        <v>-0.46157699448106199</v>
      </c>
      <c r="AE35" s="21">
        <v>0.23739361945009099</v>
      </c>
      <c r="AF35" s="3">
        <v>0</v>
      </c>
      <c r="AG35" s="3">
        <v>0.30381999999999998</v>
      </c>
      <c r="AH35" s="3">
        <v>-7.5545699999999993E-2</v>
      </c>
      <c r="AI35" s="3">
        <v>19.391400000000001</v>
      </c>
      <c r="AJ35" s="3">
        <v>0.10985499999999999</v>
      </c>
      <c r="AK35" s="3">
        <v>0.65990099999999996</v>
      </c>
      <c r="AL35" s="3">
        <v>0</v>
      </c>
      <c r="AM35" s="3">
        <v>0</v>
      </c>
      <c r="AN35" s="3">
        <v>-0.50131499999999996</v>
      </c>
      <c r="AO35" s="3">
        <v>54.595300000000002</v>
      </c>
      <c r="AP35" s="3">
        <v>0.43304999999999999</v>
      </c>
      <c r="AQ35" s="3">
        <v>0.32985999999999999</v>
      </c>
      <c r="AR35" s="3">
        <v>50.651200000000003</v>
      </c>
      <c r="AS35" s="3">
        <v>0.57700200000000001</v>
      </c>
      <c r="AT35" s="3">
        <v>2.44069</v>
      </c>
      <c r="AU35" s="3">
        <v>59.488700000000001</v>
      </c>
      <c r="AV35" s="3">
        <v>0.84096800000000005</v>
      </c>
      <c r="AW35" s="3">
        <v>-0.139845</v>
      </c>
      <c r="AX35" s="3">
        <v>0</v>
      </c>
      <c r="AY35" s="3">
        <v>0.16520699999999999</v>
      </c>
      <c r="AZ35" s="21">
        <v>-0.46775699999999998</v>
      </c>
      <c r="BA35" s="3">
        <v>32.880000000000003</v>
      </c>
      <c r="BB35" s="3">
        <v>14</v>
      </c>
    </row>
    <row r="36" spans="1:54" s="3" customFormat="1" ht="78.75" customHeight="1" x14ac:dyDescent="0.25">
      <c r="A36" s="2">
        <v>34</v>
      </c>
      <c r="B36" s="3">
        <v>1</v>
      </c>
      <c r="C36" s="2">
        <v>1</v>
      </c>
      <c r="D36" s="9">
        <v>70</v>
      </c>
      <c r="E36" s="3" t="s">
        <v>53</v>
      </c>
      <c r="F36" s="3">
        <f t="shared" si="5"/>
        <v>2</v>
      </c>
      <c r="G36" s="11" t="s">
        <v>54</v>
      </c>
      <c r="H36" s="3" t="s">
        <v>54</v>
      </c>
      <c r="I36" s="3">
        <f t="shared" si="1"/>
        <v>1</v>
      </c>
      <c r="J36" s="3" t="s">
        <v>55</v>
      </c>
      <c r="K36" s="3">
        <v>1</v>
      </c>
      <c r="L36" s="6" t="s">
        <v>165</v>
      </c>
      <c r="M36" s="3">
        <v>-85</v>
      </c>
      <c r="N36" s="3">
        <f t="shared" si="2"/>
        <v>-0.85</v>
      </c>
      <c r="O36" s="3">
        <v>59</v>
      </c>
      <c r="P36" s="3">
        <v>0.59</v>
      </c>
      <c r="Q36" s="17">
        <v>-6.5277777777777617E-3</v>
      </c>
      <c r="R36" s="21">
        <v>0.1443473899365052</v>
      </c>
      <c r="S36" s="3">
        <v>2</v>
      </c>
      <c r="T36" s="3">
        <v>41.85</v>
      </c>
      <c r="U36" s="3">
        <v>72.67</v>
      </c>
      <c r="V36" s="26">
        <v>-0.22931021266662799</v>
      </c>
      <c r="W36" s="18">
        <v>-0.479888198870566</v>
      </c>
      <c r="X36" s="18">
        <v>-0.34135210005724598</v>
      </c>
      <c r="Y36" s="18">
        <v>-0.94876347485244195</v>
      </c>
      <c r="Z36" s="18">
        <v>-0.92272419049796806</v>
      </c>
      <c r="AA36" s="18">
        <v>-1.3336874064697399</v>
      </c>
      <c r="AB36" s="18">
        <v>1.50707418279262E-2</v>
      </c>
      <c r="AC36" s="18">
        <v>0.25047483557202499</v>
      </c>
      <c r="AD36" s="18">
        <v>-0.73843176966991297</v>
      </c>
      <c r="AE36" s="21">
        <v>-0.40198623822569002</v>
      </c>
      <c r="AF36" s="3">
        <v>24.2727</v>
      </c>
      <c r="AG36" s="3">
        <v>4.3204899999999997E-2</v>
      </c>
      <c r="AH36" s="3">
        <v>1.7149000000000001</v>
      </c>
      <c r="AI36" s="3">
        <v>0.233766</v>
      </c>
      <c r="AJ36" s="3">
        <v>1.9407899999999999E-2</v>
      </c>
      <c r="AK36" s="3">
        <v>-5.1866700000000002E-2</v>
      </c>
      <c r="AL36" s="3">
        <v>0</v>
      </c>
      <c r="AM36" s="3">
        <v>0</v>
      </c>
      <c r="AN36" s="3">
        <v>-0.55097499999999999</v>
      </c>
      <c r="AO36" s="3">
        <v>53.259700000000002</v>
      </c>
      <c r="AP36" s="3">
        <v>0.30275400000000002</v>
      </c>
      <c r="AQ36" s="3">
        <v>-0.56023400000000001</v>
      </c>
      <c r="AR36" s="3">
        <v>17.883099999999999</v>
      </c>
      <c r="AS36" s="3">
        <v>7.5033299999999997E-2</v>
      </c>
      <c r="AT36" s="3">
        <v>0.58930199999999999</v>
      </c>
      <c r="AU36" s="3">
        <v>56.960999999999999</v>
      </c>
      <c r="AV36" s="3">
        <v>0.137097</v>
      </c>
      <c r="AW36" s="3">
        <v>-1.75661</v>
      </c>
      <c r="AX36" s="3">
        <v>0</v>
      </c>
      <c r="AY36" s="3">
        <v>0</v>
      </c>
      <c r="AZ36" s="21">
        <v>-0.64954199999999995</v>
      </c>
      <c r="BA36" s="3">
        <v>30.817</v>
      </c>
      <c r="BB36" s="3">
        <v>1</v>
      </c>
    </row>
    <row r="37" spans="1:54" s="3" customFormat="1" ht="47.25" customHeight="1" x14ac:dyDescent="0.25">
      <c r="A37" s="2">
        <v>35</v>
      </c>
      <c r="B37" s="3">
        <v>1</v>
      </c>
      <c r="C37" s="2">
        <v>1</v>
      </c>
      <c r="D37" s="9">
        <v>70</v>
      </c>
      <c r="E37" s="3" t="s">
        <v>53</v>
      </c>
      <c r="F37" s="3">
        <f t="shared" si="5"/>
        <v>2</v>
      </c>
      <c r="G37" s="11"/>
      <c r="H37" s="3" t="s">
        <v>54</v>
      </c>
      <c r="I37" s="3">
        <f t="shared" si="1"/>
        <v>1</v>
      </c>
      <c r="J37" s="3" t="s">
        <v>56</v>
      </c>
      <c r="K37" s="3">
        <v>2</v>
      </c>
      <c r="L37" s="6" t="s">
        <v>166</v>
      </c>
      <c r="M37" s="3">
        <v>-85</v>
      </c>
      <c r="N37" s="3">
        <f t="shared" si="2"/>
        <v>-0.85</v>
      </c>
      <c r="O37" s="3">
        <v>59</v>
      </c>
      <c r="P37" s="3">
        <v>0.59</v>
      </c>
      <c r="Q37" s="17">
        <v>0.30833333333333329</v>
      </c>
      <c r="R37" s="21">
        <v>1.178511301977579E-2</v>
      </c>
      <c r="S37" s="3">
        <v>3</v>
      </c>
      <c r="T37" s="3">
        <v>72.67</v>
      </c>
      <c r="U37" s="3">
        <v>84.52</v>
      </c>
      <c r="V37" s="26">
        <v>0.29485726441343002</v>
      </c>
      <c r="W37" s="18">
        <v>0.40264846044070102</v>
      </c>
      <c r="X37" s="18">
        <v>-0.11392224170564701</v>
      </c>
      <c r="Y37" s="18">
        <v>-0.26698129871346099</v>
      </c>
      <c r="Z37" s="18">
        <v>-0.110886545228012</v>
      </c>
      <c r="AA37" s="18">
        <v>0.452234432406389</v>
      </c>
      <c r="AB37" s="18">
        <v>0.76454439980125199</v>
      </c>
      <c r="AC37" s="18">
        <v>1.4487275973810501</v>
      </c>
      <c r="AD37" s="18">
        <v>-0.41908504322581203</v>
      </c>
      <c r="AE37" s="21">
        <v>-2.2569400370827202</v>
      </c>
      <c r="AF37" s="3">
        <v>0</v>
      </c>
      <c r="AG37" s="3">
        <v>0.351298</v>
      </c>
      <c r="AH37" s="3">
        <v>-0.23688400000000001</v>
      </c>
      <c r="AI37" s="3">
        <v>1.4213199999999999</v>
      </c>
      <c r="AJ37" s="3">
        <v>4.69802E-2</v>
      </c>
      <c r="AK37" s="3">
        <v>8.9390200000000003E-2</v>
      </c>
      <c r="AL37" s="3">
        <v>0</v>
      </c>
      <c r="AM37" s="3">
        <v>0</v>
      </c>
      <c r="AN37" s="3">
        <v>-0.55097499999999999</v>
      </c>
      <c r="AO37" s="3">
        <v>49.746200000000002</v>
      </c>
      <c r="AP37" s="3">
        <v>0.124377</v>
      </c>
      <c r="AQ37" s="3">
        <v>-0.23675399999999999</v>
      </c>
      <c r="AR37" s="3">
        <v>31.1675</v>
      </c>
      <c r="AS37" s="3">
        <v>8.5478999999999999E-2</v>
      </c>
      <c r="AT37" s="3">
        <v>0.786744</v>
      </c>
      <c r="AU37" s="3">
        <v>58.781700000000001</v>
      </c>
      <c r="AV37" s="3">
        <v>0.48161799999999999</v>
      </c>
      <c r="AW37" s="3">
        <v>-0.19583800000000001</v>
      </c>
      <c r="AX37" s="3">
        <v>0</v>
      </c>
      <c r="AY37" s="3">
        <v>0.116295</v>
      </c>
      <c r="AZ37" s="21">
        <v>-0.40002500000000002</v>
      </c>
      <c r="BA37" s="3">
        <v>11.853</v>
      </c>
      <c r="BB37" s="3">
        <v>2</v>
      </c>
    </row>
    <row r="38" spans="1:54" s="3" customFormat="1" ht="126" customHeight="1" x14ac:dyDescent="0.25">
      <c r="A38" s="2">
        <v>36</v>
      </c>
      <c r="B38" s="3">
        <v>1</v>
      </c>
      <c r="C38" s="2">
        <v>1</v>
      </c>
      <c r="D38" s="9">
        <v>70</v>
      </c>
      <c r="E38" s="3" t="s">
        <v>53</v>
      </c>
      <c r="F38" s="3">
        <f t="shared" si="5"/>
        <v>2</v>
      </c>
      <c r="G38" s="11"/>
      <c r="H38" s="3" t="s">
        <v>54</v>
      </c>
      <c r="I38" s="3">
        <f t="shared" si="1"/>
        <v>1</v>
      </c>
      <c r="J38" s="3" t="s">
        <v>57</v>
      </c>
      <c r="K38" s="3">
        <v>3</v>
      </c>
      <c r="L38" s="6" t="s">
        <v>167</v>
      </c>
      <c r="M38" s="3">
        <v>-85</v>
      </c>
      <c r="N38" s="3">
        <f t="shared" si="2"/>
        <v>-0.85</v>
      </c>
      <c r="O38" s="3">
        <v>59</v>
      </c>
      <c r="P38" s="3">
        <v>0.59</v>
      </c>
      <c r="Q38" s="17">
        <v>0.1166898148148148</v>
      </c>
      <c r="R38" s="21">
        <v>0.31101592820996898</v>
      </c>
      <c r="S38" s="3">
        <v>5</v>
      </c>
      <c r="T38" s="3">
        <v>85.76</v>
      </c>
      <c r="U38" s="3">
        <v>132.77000000000001</v>
      </c>
      <c r="V38" s="26">
        <v>0.81193542396811202</v>
      </c>
      <c r="W38" s="18">
        <v>-0.47431594024384199</v>
      </c>
      <c r="X38" s="18">
        <v>-0.141990515037722</v>
      </c>
      <c r="Y38" s="18">
        <v>1.1446143723501501</v>
      </c>
      <c r="Z38" s="18">
        <v>-0.561471442460584</v>
      </c>
      <c r="AA38" s="18">
        <v>-0.69285717057242502</v>
      </c>
      <c r="AB38" s="18">
        <v>0.63702936727381299</v>
      </c>
      <c r="AC38" s="18">
        <v>-0.21857572930130201</v>
      </c>
      <c r="AD38" s="18">
        <v>-1.0590926801734499</v>
      </c>
      <c r="AE38" s="21">
        <v>0.64509230516805804</v>
      </c>
      <c r="AF38" s="3">
        <v>0.15319099999999999</v>
      </c>
      <c r="AG38" s="3">
        <v>0.109621</v>
      </c>
      <c r="AH38" s="3">
        <v>2.0059300000000002</v>
      </c>
      <c r="AI38" s="3">
        <v>11.463800000000001</v>
      </c>
      <c r="AJ38" s="3">
        <v>0.147928</v>
      </c>
      <c r="AK38" s="3">
        <v>0.44525300000000001</v>
      </c>
      <c r="AL38" s="3">
        <v>0</v>
      </c>
      <c r="AM38" s="3">
        <v>0</v>
      </c>
      <c r="AN38" s="3">
        <v>-0.55097499999999999</v>
      </c>
      <c r="AO38" s="3">
        <v>47.616999999999997</v>
      </c>
      <c r="AP38" s="3">
        <v>0.22961799999999999</v>
      </c>
      <c r="AQ38" s="3">
        <v>-0.14215</v>
      </c>
      <c r="AR38" s="3">
        <v>21.906400000000001</v>
      </c>
      <c r="AS38" s="3">
        <v>0.13801099999999999</v>
      </c>
      <c r="AT38" s="3">
        <v>0.85028899999999996</v>
      </c>
      <c r="AU38" s="3">
        <v>59.029800000000002</v>
      </c>
      <c r="AV38" s="3">
        <v>0.55407300000000004</v>
      </c>
      <c r="AW38" s="3">
        <v>-0.62179499999999999</v>
      </c>
      <c r="AX38" s="3">
        <v>0</v>
      </c>
      <c r="AY38" s="3">
        <v>0.26758799999999999</v>
      </c>
      <c r="AZ38" s="21">
        <v>9.97339E-2</v>
      </c>
      <c r="BA38" s="3">
        <v>47.015000000000001</v>
      </c>
      <c r="BB38" s="3">
        <v>3</v>
      </c>
    </row>
    <row r="39" spans="1:54" s="3" customFormat="1" ht="63" customHeight="1" x14ac:dyDescent="0.25">
      <c r="A39" s="2">
        <v>37</v>
      </c>
      <c r="B39" s="3">
        <v>1</v>
      </c>
      <c r="C39" s="2">
        <v>1</v>
      </c>
      <c r="D39" s="9">
        <v>70</v>
      </c>
      <c r="E39" s="3" t="s">
        <v>53</v>
      </c>
      <c r="F39" s="3">
        <f t="shared" si="5"/>
        <v>2</v>
      </c>
      <c r="G39" s="11"/>
      <c r="H39" s="3" t="s">
        <v>54</v>
      </c>
      <c r="I39" s="3">
        <f t="shared" si="1"/>
        <v>1</v>
      </c>
      <c r="J39" s="3" t="s">
        <v>58</v>
      </c>
      <c r="K39" s="3">
        <v>4</v>
      </c>
      <c r="L39" s="6" t="s">
        <v>144</v>
      </c>
      <c r="M39" s="3">
        <v>-85</v>
      </c>
      <c r="N39" s="3">
        <f t="shared" si="2"/>
        <v>-0.85</v>
      </c>
      <c r="O39" s="3">
        <v>59</v>
      </c>
      <c r="P39" s="3">
        <v>0.59</v>
      </c>
      <c r="Q39" s="17">
        <v>-0.1216666666666667</v>
      </c>
      <c r="R39" s="21">
        <v>0.39224071407463268</v>
      </c>
      <c r="S39" s="3">
        <v>7</v>
      </c>
      <c r="T39" s="3">
        <v>133.19999999999999</v>
      </c>
      <c r="U39" s="3">
        <v>154.99</v>
      </c>
      <c r="V39" s="26">
        <v>1.0850186551674199</v>
      </c>
      <c r="W39" s="18">
        <v>1.2100804255061699</v>
      </c>
      <c r="X39" s="18">
        <v>-4.3177233789964603E-2</v>
      </c>
      <c r="Y39" s="18">
        <v>0.41271591664222201</v>
      </c>
      <c r="Z39" s="18">
        <v>3.7654121457006098E-2</v>
      </c>
      <c r="AA39" s="18">
        <v>6.1463329792505399E-2</v>
      </c>
      <c r="AB39" s="18">
        <v>1.5162404111441099</v>
      </c>
      <c r="AC39" s="18">
        <v>0.31763354493595403</v>
      </c>
      <c r="AD39" s="18">
        <v>-1.03937991928184</v>
      </c>
      <c r="AE39" s="21">
        <v>0.72783558086727695</v>
      </c>
      <c r="AF39" s="3">
        <v>1.1570199999999999</v>
      </c>
      <c r="AG39" s="3">
        <v>0.16559399999999999</v>
      </c>
      <c r="AH39" s="3">
        <v>2.1489600000000002</v>
      </c>
      <c r="AI39" s="3">
        <v>6.2259000000000002</v>
      </c>
      <c r="AJ39" s="3">
        <v>8.6876999999999996E-2</v>
      </c>
      <c r="AK39" s="3">
        <v>7.0694499999999993E-2</v>
      </c>
      <c r="AL39" s="3">
        <v>0</v>
      </c>
      <c r="AM39" s="3">
        <v>0</v>
      </c>
      <c r="AN39" s="3">
        <v>-0.55097499999999999</v>
      </c>
      <c r="AO39" s="3">
        <v>46.776899999999998</v>
      </c>
      <c r="AP39" s="3">
        <v>0.16770299999999999</v>
      </c>
      <c r="AQ39" s="3">
        <v>-0.38026300000000002</v>
      </c>
      <c r="AR39" s="3">
        <v>31.019300000000001</v>
      </c>
      <c r="AS39" s="3">
        <v>9.8257499999999998E-2</v>
      </c>
      <c r="AT39" s="3">
        <v>0.83791000000000004</v>
      </c>
      <c r="AU39" s="3">
        <v>59.834699999999998</v>
      </c>
      <c r="AV39" s="3">
        <v>0.51218300000000005</v>
      </c>
      <c r="AW39" s="3">
        <v>-0.30272399999999999</v>
      </c>
      <c r="AX39" s="3">
        <v>0</v>
      </c>
      <c r="AY39" s="3">
        <v>0.219194</v>
      </c>
      <c r="AZ39" s="21">
        <v>-0.33927299999999999</v>
      </c>
      <c r="BA39" s="3">
        <v>21.795000000000002</v>
      </c>
      <c r="BB39" s="3">
        <v>4</v>
      </c>
    </row>
    <row r="40" spans="1:54" s="3" customFormat="1" ht="78.75" customHeight="1" x14ac:dyDescent="0.25">
      <c r="A40" s="2">
        <v>38</v>
      </c>
      <c r="B40" s="3">
        <v>1</v>
      </c>
      <c r="C40" s="2">
        <v>1</v>
      </c>
      <c r="D40" s="9">
        <v>70</v>
      </c>
      <c r="E40" s="3" t="s">
        <v>53</v>
      </c>
      <c r="F40" s="3">
        <f t="shared" si="5"/>
        <v>2</v>
      </c>
      <c r="G40" s="11"/>
      <c r="H40" s="3" t="s">
        <v>54</v>
      </c>
      <c r="I40" s="3">
        <f t="shared" si="1"/>
        <v>1</v>
      </c>
      <c r="J40" s="3" t="s">
        <v>59</v>
      </c>
      <c r="K40" s="3">
        <v>5</v>
      </c>
      <c r="L40" s="6" t="s">
        <v>160</v>
      </c>
      <c r="M40" s="3">
        <v>-85</v>
      </c>
      <c r="N40" s="3">
        <f t="shared" si="2"/>
        <v>-0.85</v>
      </c>
      <c r="O40" s="3">
        <v>59</v>
      </c>
      <c r="P40" s="3">
        <v>0.59</v>
      </c>
      <c r="Q40" s="17">
        <v>6.19047619047619E-2</v>
      </c>
      <c r="R40" s="21">
        <v>0.41384760633576367</v>
      </c>
      <c r="S40" s="3">
        <v>9</v>
      </c>
      <c r="T40" s="3">
        <v>159.37</v>
      </c>
      <c r="U40" s="3">
        <v>187.82</v>
      </c>
      <c r="V40" s="26">
        <v>-0.19818181844849</v>
      </c>
      <c r="W40" s="18">
        <v>-0.76920142544385295</v>
      </c>
      <c r="X40" s="18">
        <v>-0.18692706290877301</v>
      </c>
      <c r="Y40" s="18">
        <v>0.37039893481821501</v>
      </c>
      <c r="Z40" s="18">
        <v>-0.12531357190682299</v>
      </c>
      <c r="AA40" s="18">
        <v>-0.17208478069926</v>
      </c>
      <c r="AB40" s="18">
        <v>-0.36897594586893501</v>
      </c>
      <c r="AC40" s="18">
        <v>0.69442925115672705</v>
      </c>
      <c r="AD40" s="18">
        <v>-0.83392914465594004</v>
      </c>
      <c r="AE40" s="21">
        <v>1.55075506827587</v>
      </c>
      <c r="AF40" s="3">
        <v>6.1224499999999997</v>
      </c>
      <c r="AG40" s="3">
        <v>0.14127999999999999</v>
      </c>
      <c r="AH40" s="3">
        <v>1.89897</v>
      </c>
      <c r="AI40" s="3">
        <v>0.76002800000000004</v>
      </c>
      <c r="AJ40" s="3">
        <v>5.5634900000000001E-2</v>
      </c>
      <c r="AK40" s="3">
        <v>4.82596E-2</v>
      </c>
      <c r="AL40" s="3">
        <v>0</v>
      </c>
      <c r="AM40" s="3">
        <v>0</v>
      </c>
      <c r="AN40" s="3">
        <v>-0.55097499999999999</v>
      </c>
      <c r="AO40" s="3">
        <v>53.244199999999999</v>
      </c>
      <c r="AP40" s="3">
        <v>0.42822199999999999</v>
      </c>
      <c r="AQ40" s="3">
        <v>0.98102999999999996</v>
      </c>
      <c r="AR40" s="3">
        <v>18.451799999999999</v>
      </c>
      <c r="AS40" s="3">
        <v>0.42088700000000001</v>
      </c>
      <c r="AT40" s="3">
        <v>3.8532000000000002</v>
      </c>
      <c r="AU40" s="3">
        <v>58.184399999999997</v>
      </c>
      <c r="AV40" s="3">
        <v>0.67049000000000003</v>
      </c>
      <c r="AW40" s="3">
        <v>0.31528200000000001</v>
      </c>
      <c r="AX40" s="3">
        <v>0</v>
      </c>
      <c r="AY40" s="3">
        <v>0.18829000000000001</v>
      </c>
      <c r="AZ40" s="21">
        <v>-0.27250400000000002</v>
      </c>
      <c r="BA40" s="3">
        <v>28.446999999999999</v>
      </c>
      <c r="BB40" s="3">
        <v>5</v>
      </c>
    </row>
    <row r="41" spans="1:54" s="3" customFormat="1" ht="94.5" customHeight="1" x14ac:dyDescent="0.25">
      <c r="A41" s="2">
        <v>39</v>
      </c>
      <c r="B41" s="3">
        <v>1</v>
      </c>
      <c r="C41" s="2">
        <v>1</v>
      </c>
      <c r="D41" s="9">
        <v>70</v>
      </c>
      <c r="E41" s="3" t="s">
        <v>53</v>
      </c>
      <c r="F41" s="3">
        <f>IF(E42="Happy", 1,2)</f>
        <v>2</v>
      </c>
      <c r="G41" s="11"/>
      <c r="H41" s="3" t="s">
        <v>54</v>
      </c>
      <c r="I41" s="3">
        <f t="shared" si="1"/>
        <v>1</v>
      </c>
      <c r="J41" s="3" t="s">
        <v>60</v>
      </c>
      <c r="K41" s="3">
        <v>6</v>
      </c>
      <c r="L41" s="6" t="s">
        <v>168</v>
      </c>
      <c r="M41" s="3">
        <v>-85</v>
      </c>
      <c r="N41" s="3">
        <f t="shared" si="2"/>
        <v>-0.85</v>
      </c>
      <c r="O41" s="3">
        <v>59</v>
      </c>
      <c r="P41" s="3">
        <v>0.59</v>
      </c>
      <c r="Q41" s="17">
        <v>-2.9077380952380948E-2</v>
      </c>
      <c r="R41" s="21">
        <v>0.2864217555496687</v>
      </c>
      <c r="S41" s="3">
        <v>10</v>
      </c>
      <c r="T41" s="3">
        <v>187.82</v>
      </c>
      <c r="U41" s="3">
        <v>229.11</v>
      </c>
      <c r="V41" s="26">
        <v>0.50095749549287805</v>
      </c>
      <c r="W41" s="18">
        <v>0.71418058120250805</v>
      </c>
      <c r="X41" s="18">
        <v>-8.6603669464192595E-2</v>
      </c>
      <c r="Y41" s="18">
        <v>-0.11493360307209199</v>
      </c>
      <c r="Z41" s="18">
        <v>-8.9534545743375105E-2</v>
      </c>
      <c r="AA41" s="18">
        <v>-0.16207996019724799</v>
      </c>
      <c r="AB41" s="18">
        <v>0.44560665947120098</v>
      </c>
      <c r="AC41" s="18">
        <v>1.0782942952052801</v>
      </c>
      <c r="AD41" s="18">
        <v>1.88862216515214</v>
      </c>
      <c r="AE41" s="21">
        <v>-5.8977749872564898E-2</v>
      </c>
      <c r="AF41" s="3">
        <v>1.2209300000000001</v>
      </c>
      <c r="AG41" s="3">
        <v>0.13948199999999999</v>
      </c>
      <c r="AH41" s="3">
        <v>1.8747199999999999</v>
      </c>
      <c r="AI41" s="3">
        <v>12.2384</v>
      </c>
      <c r="AJ41" s="3">
        <v>0.169457</v>
      </c>
      <c r="AK41" s="3">
        <v>0.48867100000000002</v>
      </c>
      <c r="AL41" s="3">
        <v>0</v>
      </c>
      <c r="AM41" s="3">
        <v>0</v>
      </c>
      <c r="AN41" s="3">
        <v>-0.55097499999999999</v>
      </c>
      <c r="AO41" s="3">
        <v>53.924399999999999</v>
      </c>
      <c r="AP41" s="3">
        <v>0.188608</v>
      </c>
      <c r="AQ41" s="3">
        <v>-0.42480299999999999</v>
      </c>
      <c r="AR41" s="3">
        <v>38.546500000000002</v>
      </c>
      <c r="AS41" s="3">
        <v>4.7081499999999998E-2</v>
      </c>
      <c r="AT41" s="3">
        <v>0.60064899999999999</v>
      </c>
      <c r="AU41" s="3">
        <v>60</v>
      </c>
      <c r="AV41" s="3">
        <v>0.54894500000000002</v>
      </c>
      <c r="AW41" s="3">
        <v>0.73578200000000005</v>
      </c>
      <c r="AX41" s="3">
        <v>0</v>
      </c>
      <c r="AY41" s="3">
        <v>0.19023399999999999</v>
      </c>
      <c r="AZ41" s="21">
        <v>-0.30511700000000003</v>
      </c>
      <c r="BA41" s="3">
        <v>41.29</v>
      </c>
      <c r="BB41" s="3">
        <v>6</v>
      </c>
    </row>
    <row r="42" spans="1:54" s="3" customFormat="1" ht="47.25" customHeight="1" x14ac:dyDescent="0.25">
      <c r="A42" s="2">
        <v>40</v>
      </c>
      <c r="B42" s="3">
        <v>1</v>
      </c>
      <c r="C42" s="2">
        <v>1</v>
      </c>
      <c r="D42" s="9">
        <v>70</v>
      </c>
      <c r="E42" s="3" t="s">
        <v>53</v>
      </c>
      <c r="F42" s="3">
        <f>IF(E43="Happy", 1,2)</f>
        <v>2</v>
      </c>
      <c r="G42" s="11"/>
      <c r="H42" s="3" t="s">
        <v>54</v>
      </c>
      <c r="I42" s="3">
        <f t="shared" si="1"/>
        <v>1</v>
      </c>
      <c r="J42" s="3" t="s">
        <v>61</v>
      </c>
      <c r="K42" s="3">
        <v>7</v>
      </c>
      <c r="L42" s="6" t="s">
        <v>146</v>
      </c>
      <c r="M42" s="3">
        <v>-85</v>
      </c>
      <c r="N42" s="3">
        <f t="shared" si="2"/>
        <v>-0.85</v>
      </c>
      <c r="O42" s="3">
        <v>59</v>
      </c>
      <c r="P42" s="3">
        <v>0.59</v>
      </c>
      <c r="Q42" s="17">
        <v>-0.125</v>
      </c>
      <c r="R42" s="21">
        <v>0.20615528128088301</v>
      </c>
      <c r="S42" s="3">
        <v>11</v>
      </c>
      <c r="T42" s="3">
        <v>229.11</v>
      </c>
      <c r="U42" s="3">
        <v>245.56</v>
      </c>
      <c r="V42" s="26">
        <v>0.38812344173767599</v>
      </c>
      <c r="W42" s="18">
        <v>-0.793532322552433</v>
      </c>
      <c r="X42" s="18">
        <v>-0.16643612559976101</v>
      </c>
      <c r="Y42" s="18">
        <v>1.0382041516321201</v>
      </c>
      <c r="Z42" s="18">
        <v>-1.3177938890704799</v>
      </c>
      <c r="AA42" s="18">
        <v>-1.0998323996435599</v>
      </c>
      <c r="AB42" s="18">
        <v>0.77974049176047899</v>
      </c>
      <c r="AC42" s="18">
        <v>2.0206370276486099</v>
      </c>
      <c r="AD42" s="18">
        <v>-0.47428077372232302</v>
      </c>
      <c r="AE42" s="21">
        <v>0.69022500100399498</v>
      </c>
      <c r="AF42" s="3">
        <v>1.67883</v>
      </c>
      <c r="AG42" s="3">
        <v>7.3314400000000002E-2</v>
      </c>
      <c r="AH42" s="3">
        <v>1.8691199999999999</v>
      </c>
      <c r="AI42" s="3">
        <v>14.160600000000001</v>
      </c>
      <c r="AJ42" s="3">
        <v>7.7553200000000003E-2</v>
      </c>
      <c r="AK42" s="3">
        <v>0.23313999999999999</v>
      </c>
      <c r="AL42" s="3">
        <v>0</v>
      </c>
      <c r="AM42" s="3">
        <v>0</v>
      </c>
      <c r="AN42" s="3">
        <v>-0.55097499999999999</v>
      </c>
      <c r="AO42" s="3">
        <v>50.875900000000001</v>
      </c>
      <c r="AP42" s="3">
        <v>0.27841100000000002</v>
      </c>
      <c r="AQ42" s="3">
        <v>0.138599</v>
      </c>
      <c r="AR42" s="3">
        <v>16.715299999999999</v>
      </c>
      <c r="AS42" s="3">
        <v>0.17511199999999999</v>
      </c>
      <c r="AT42" s="3">
        <v>0.65635399999999999</v>
      </c>
      <c r="AU42" s="3">
        <v>60</v>
      </c>
      <c r="AV42" s="3">
        <v>0.49821199999999999</v>
      </c>
      <c r="AW42" s="3">
        <v>0.21689900000000001</v>
      </c>
      <c r="AX42" s="3">
        <v>0</v>
      </c>
      <c r="AY42" s="3">
        <v>0.29803000000000002</v>
      </c>
      <c r="AZ42" s="21">
        <v>1.00225E-2</v>
      </c>
      <c r="BA42" s="3">
        <v>16.457000000000001</v>
      </c>
      <c r="BB42" s="3">
        <v>7</v>
      </c>
    </row>
    <row r="43" spans="1:54" s="3" customFormat="1" ht="31.5" customHeight="1" x14ac:dyDescent="0.25">
      <c r="A43" s="2">
        <v>41</v>
      </c>
      <c r="B43" s="3">
        <v>1</v>
      </c>
      <c r="C43" s="2">
        <v>1</v>
      </c>
      <c r="D43" s="9">
        <v>70</v>
      </c>
      <c r="E43" s="3" t="s">
        <v>53</v>
      </c>
      <c r="F43" s="3">
        <f t="shared" ref="F43:F50" si="6">IF(E43="Happy", 1,2)</f>
        <v>2</v>
      </c>
      <c r="G43" s="11"/>
      <c r="H43" s="3" t="s">
        <v>54</v>
      </c>
      <c r="I43" s="3">
        <f t="shared" si="1"/>
        <v>1</v>
      </c>
      <c r="J43" s="3" t="s">
        <v>62</v>
      </c>
      <c r="K43" s="3">
        <v>8</v>
      </c>
      <c r="L43" s="6" t="s">
        <v>157</v>
      </c>
      <c r="M43" s="3">
        <v>-85</v>
      </c>
      <c r="N43" s="3">
        <f t="shared" si="2"/>
        <v>-0.85</v>
      </c>
      <c r="O43" s="3">
        <v>59</v>
      </c>
      <c r="P43" s="3">
        <v>0.59</v>
      </c>
      <c r="Q43" s="17">
        <v>-4.4166666666666687E-2</v>
      </c>
      <c r="R43" s="21">
        <v>0.42735377616209269</v>
      </c>
      <c r="S43" s="3">
        <v>12</v>
      </c>
      <c r="T43" s="3">
        <v>245.56</v>
      </c>
      <c r="U43" s="3">
        <v>259.95999999999998</v>
      </c>
      <c r="V43" s="26">
        <v>0.50925386708132703</v>
      </c>
      <c r="W43" s="18">
        <v>1.1712226891245601</v>
      </c>
      <c r="X43" s="18">
        <v>-0.186560244875147</v>
      </c>
      <c r="Y43" s="18">
        <v>-0.36288949474524601</v>
      </c>
      <c r="Z43" s="18">
        <v>1.49997754562111</v>
      </c>
      <c r="AA43" s="18">
        <v>1.49605024502741</v>
      </c>
      <c r="AB43" s="18">
        <v>4.3721081213506298E-2</v>
      </c>
      <c r="AC43" s="18">
        <v>0.91004405490407503</v>
      </c>
      <c r="AD43" s="18">
        <v>-0.21056783912787999</v>
      </c>
      <c r="AE43" s="21">
        <v>1.47553390854931</v>
      </c>
      <c r="AF43" s="3">
        <v>0</v>
      </c>
      <c r="AG43" s="3">
        <v>0.19028500000000001</v>
      </c>
      <c r="AH43" s="3">
        <v>-0.52215599999999995</v>
      </c>
      <c r="AI43" s="3">
        <v>21.476299999999998</v>
      </c>
      <c r="AJ43" s="3">
        <v>7.2697800000000007E-2</v>
      </c>
      <c r="AK43" s="3">
        <v>4.3102099999999997E-2</v>
      </c>
      <c r="AL43" s="3">
        <v>0</v>
      </c>
      <c r="AM43" s="3">
        <v>0</v>
      </c>
      <c r="AN43" s="3">
        <v>-0.55097499999999999</v>
      </c>
      <c r="AO43" s="3">
        <v>55.153199999999998</v>
      </c>
      <c r="AP43" s="3">
        <v>0.15264800000000001</v>
      </c>
      <c r="AQ43" s="3">
        <v>-0.55507200000000001</v>
      </c>
      <c r="AR43" s="3">
        <v>26.072399999999998</v>
      </c>
      <c r="AS43" s="3">
        <v>5.6003200000000003E-2</v>
      </c>
      <c r="AT43" s="3">
        <v>0.51399700000000004</v>
      </c>
      <c r="AU43" s="3">
        <v>60</v>
      </c>
      <c r="AV43" s="3">
        <v>0.38819300000000001</v>
      </c>
      <c r="AW43" s="3">
        <v>0.45297199999999999</v>
      </c>
      <c r="AX43" s="3">
        <v>0</v>
      </c>
      <c r="AY43" s="3">
        <v>0.147121</v>
      </c>
      <c r="AZ43" s="21">
        <v>-0.39173599999999997</v>
      </c>
      <c r="BA43" s="3">
        <v>14.396000000000001</v>
      </c>
      <c r="BB43" s="3">
        <v>8</v>
      </c>
    </row>
    <row r="44" spans="1:54" s="3" customFormat="1" ht="31.5" customHeight="1" x14ac:dyDescent="0.25">
      <c r="A44" s="2">
        <v>42</v>
      </c>
      <c r="B44" s="3">
        <v>1</v>
      </c>
      <c r="C44" s="2">
        <v>1</v>
      </c>
      <c r="D44" s="9">
        <v>70</v>
      </c>
      <c r="E44" s="3" t="s">
        <v>53</v>
      </c>
      <c r="F44" s="3">
        <f t="shared" si="6"/>
        <v>2</v>
      </c>
      <c r="G44" s="11"/>
      <c r="H44" s="3" t="s">
        <v>54</v>
      </c>
      <c r="I44" s="3">
        <f t="shared" si="1"/>
        <v>1</v>
      </c>
      <c r="J44" s="3" t="s">
        <v>63</v>
      </c>
      <c r="K44" s="3">
        <v>9</v>
      </c>
      <c r="L44" s="6" t="s">
        <v>169</v>
      </c>
      <c r="M44" s="3">
        <v>-85</v>
      </c>
      <c r="N44" s="3">
        <f t="shared" si="2"/>
        <v>-0.85</v>
      </c>
      <c r="O44" s="3">
        <v>59</v>
      </c>
      <c r="P44" s="3">
        <v>0.59</v>
      </c>
      <c r="Q44" s="17">
        <v>0.1333333333333333</v>
      </c>
      <c r="R44" s="21">
        <v>0</v>
      </c>
      <c r="S44" s="3">
        <v>14</v>
      </c>
      <c r="T44" s="3">
        <v>265.66000000000003</v>
      </c>
      <c r="U44" s="3">
        <v>276.83999999999997</v>
      </c>
      <c r="V44" s="26">
        <v>-0.51408996774473104</v>
      </c>
      <c r="W44" s="18">
        <v>-0.74552517130680496</v>
      </c>
      <c r="X44" s="18">
        <v>-0.19635723162722801</v>
      </c>
      <c r="Y44" s="18">
        <v>0.73905088961349397</v>
      </c>
      <c r="Z44" s="18">
        <v>-1.2792448737847</v>
      </c>
      <c r="AA44" s="18">
        <v>-0.66081719325923105</v>
      </c>
      <c r="AB44" s="18">
        <v>1.68670092094763</v>
      </c>
      <c r="AC44" s="18">
        <v>1.77992607461263</v>
      </c>
      <c r="AD44" s="18">
        <v>-1.0161626675650599</v>
      </c>
      <c r="AE44" s="21">
        <v>0.58792422377587095</v>
      </c>
      <c r="AF44" s="3">
        <v>0</v>
      </c>
      <c r="AG44" s="3">
        <v>0.200317</v>
      </c>
      <c r="AH44" s="3">
        <v>-0.48839900000000003</v>
      </c>
      <c r="AI44" s="3">
        <v>20.860199999999999</v>
      </c>
      <c r="AJ44" s="3">
        <v>5.1672000000000003E-2</v>
      </c>
      <c r="AK44" s="3">
        <v>0.13425999999999999</v>
      </c>
      <c r="AL44" s="3">
        <v>0</v>
      </c>
      <c r="AM44" s="3">
        <v>0</v>
      </c>
      <c r="AN44" s="3">
        <v>-0.55097499999999999</v>
      </c>
      <c r="AO44" s="3">
        <v>57.419400000000003</v>
      </c>
      <c r="AP44" s="3">
        <v>0.19297700000000001</v>
      </c>
      <c r="AQ44" s="3">
        <v>-0.31009199999999998</v>
      </c>
      <c r="AR44" s="3">
        <v>6.0215100000000001</v>
      </c>
      <c r="AS44" s="3">
        <v>0.19461500000000001</v>
      </c>
      <c r="AT44" s="3">
        <v>1.0621</v>
      </c>
      <c r="AU44" s="3">
        <v>60</v>
      </c>
      <c r="AV44" s="3">
        <v>0.41575400000000001</v>
      </c>
      <c r="AW44" s="3">
        <v>0.76534400000000002</v>
      </c>
      <c r="AX44" s="3">
        <v>0</v>
      </c>
      <c r="AY44" s="3">
        <v>0.24471399999999999</v>
      </c>
      <c r="AZ44" s="21">
        <v>0.121951</v>
      </c>
      <c r="BA44" s="3">
        <v>11.179</v>
      </c>
      <c r="BB44" s="3">
        <v>9</v>
      </c>
    </row>
    <row r="45" spans="1:54" s="3" customFormat="1" ht="94.5" customHeight="1" x14ac:dyDescent="0.25">
      <c r="A45" s="2">
        <v>43</v>
      </c>
      <c r="B45" s="3">
        <v>1</v>
      </c>
      <c r="C45" s="2">
        <v>1</v>
      </c>
      <c r="D45" s="9">
        <v>70</v>
      </c>
      <c r="E45" s="3" t="s">
        <v>53</v>
      </c>
      <c r="F45" s="3">
        <f t="shared" si="6"/>
        <v>2</v>
      </c>
      <c r="G45" s="11"/>
      <c r="H45" s="3" t="s">
        <v>54</v>
      </c>
      <c r="I45" s="3">
        <f t="shared" si="1"/>
        <v>1</v>
      </c>
      <c r="J45" s="3" t="s">
        <v>64</v>
      </c>
      <c r="K45" s="3">
        <v>10</v>
      </c>
      <c r="L45" s="6" t="s">
        <v>154</v>
      </c>
      <c r="M45" s="3">
        <v>-85</v>
      </c>
      <c r="N45" s="3">
        <f t="shared" si="2"/>
        <v>-0.85</v>
      </c>
      <c r="O45" s="3">
        <v>59</v>
      </c>
      <c r="P45" s="3">
        <v>0.59</v>
      </c>
      <c r="Q45" s="17">
        <v>-8.5297619047619053E-2</v>
      </c>
      <c r="R45" s="21">
        <v>0.2494190836703194</v>
      </c>
      <c r="S45" s="3">
        <v>15</v>
      </c>
      <c r="T45" s="3">
        <v>276.83999999999997</v>
      </c>
      <c r="U45" s="3">
        <v>315.86</v>
      </c>
      <c r="V45" s="26">
        <v>0.202305119070156</v>
      </c>
      <c r="W45" s="18">
        <v>0.171060715892798</v>
      </c>
      <c r="X45" s="18">
        <v>-3.5206304694325098E-2</v>
      </c>
      <c r="Y45" s="18">
        <v>0.734108760349371</v>
      </c>
      <c r="Z45" s="18">
        <v>0.97171753674983297</v>
      </c>
      <c r="AA45" s="18">
        <v>1.7496693757900801</v>
      </c>
      <c r="AB45" s="18">
        <v>0.25808808596641702</v>
      </c>
      <c r="AC45" s="18">
        <v>0.54597315677330804</v>
      </c>
      <c r="AD45" s="18">
        <v>-0.29336143487264699</v>
      </c>
      <c r="AE45" s="21">
        <v>0.60296845572118396</v>
      </c>
      <c r="AF45" s="3">
        <v>0</v>
      </c>
      <c r="AG45" s="3">
        <v>0.12432799999999999</v>
      </c>
      <c r="AH45" s="3">
        <v>-0.607209</v>
      </c>
      <c r="AI45" s="3">
        <v>40.861499999999999</v>
      </c>
      <c r="AJ45" s="3">
        <v>4.9695499999999997E-2</v>
      </c>
      <c r="AK45" s="3">
        <v>5.5708800000000003E-3</v>
      </c>
      <c r="AL45" s="3">
        <v>0</v>
      </c>
      <c r="AM45" s="3">
        <v>1.6903100000000001E-2</v>
      </c>
      <c r="AN45" s="3">
        <v>-0.52117999999999998</v>
      </c>
      <c r="AO45" s="3">
        <v>55.138500000000001</v>
      </c>
      <c r="AP45" s="3">
        <v>0.27401700000000001</v>
      </c>
      <c r="AQ45" s="3">
        <v>-8.4498500000000004E-2</v>
      </c>
      <c r="AR45" s="3">
        <v>10.369199999999999</v>
      </c>
      <c r="AS45" s="3">
        <v>0.14255499999999999</v>
      </c>
      <c r="AT45" s="3">
        <v>0.70793200000000001</v>
      </c>
      <c r="AU45" s="3">
        <v>59.846200000000003</v>
      </c>
      <c r="AV45" s="3">
        <v>0.47403800000000001</v>
      </c>
      <c r="AW45" s="3">
        <v>0.21718699999999999</v>
      </c>
      <c r="AX45" s="3">
        <v>0</v>
      </c>
      <c r="AY45" s="3">
        <v>0.209256</v>
      </c>
      <c r="AZ45" s="21">
        <v>-0.18078900000000001</v>
      </c>
      <c r="BA45" s="3">
        <v>39.017000000000003</v>
      </c>
      <c r="BB45" s="3">
        <v>10</v>
      </c>
    </row>
    <row r="46" spans="1:54" s="3" customFormat="1" ht="94.5" customHeight="1" x14ac:dyDescent="0.25">
      <c r="A46" s="2">
        <v>44</v>
      </c>
      <c r="B46" s="3">
        <v>1</v>
      </c>
      <c r="C46" s="2">
        <v>1</v>
      </c>
      <c r="D46" s="9">
        <v>70</v>
      </c>
      <c r="E46" s="3" t="s">
        <v>53</v>
      </c>
      <c r="F46" s="3">
        <f t="shared" si="6"/>
        <v>2</v>
      </c>
      <c r="G46" s="11"/>
      <c r="H46" s="3" t="s">
        <v>54</v>
      </c>
      <c r="I46" s="3">
        <f t="shared" si="1"/>
        <v>1</v>
      </c>
      <c r="J46" s="3" t="s">
        <v>65</v>
      </c>
      <c r="K46" s="3">
        <v>11</v>
      </c>
      <c r="L46" s="6" t="s">
        <v>170</v>
      </c>
      <c r="M46" s="3">
        <v>-85</v>
      </c>
      <c r="N46" s="3">
        <f t="shared" si="2"/>
        <v>-0.85</v>
      </c>
      <c r="O46" s="3">
        <v>59</v>
      </c>
      <c r="P46" s="3">
        <v>0.59</v>
      </c>
      <c r="Q46" s="17">
        <v>6.4999999999999988E-2</v>
      </c>
      <c r="R46" s="21">
        <v>0.45628938186199341</v>
      </c>
      <c r="S46" s="3">
        <v>16</v>
      </c>
      <c r="T46" s="3">
        <v>315.86</v>
      </c>
      <c r="U46" s="3">
        <v>353.59</v>
      </c>
      <c r="V46" s="26">
        <v>1.8801782697882199</v>
      </c>
      <c r="W46" s="18">
        <v>1.34937909780558</v>
      </c>
      <c r="X46" s="18">
        <v>0.36399613854194202</v>
      </c>
      <c r="Y46" s="18">
        <v>1.4288640258066601</v>
      </c>
      <c r="Z46" s="18">
        <v>-0.43647568331538</v>
      </c>
      <c r="AA46" s="18">
        <v>-0.98404041266780895</v>
      </c>
      <c r="AB46" s="18">
        <v>0.424524334262944</v>
      </c>
      <c r="AC46" s="18">
        <v>0.99416917505467794</v>
      </c>
      <c r="AD46" s="18">
        <v>-0.26401132421180401</v>
      </c>
      <c r="AE46" s="21">
        <v>1.18518023200478</v>
      </c>
      <c r="AF46" s="3">
        <v>3.6267200000000002</v>
      </c>
      <c r="AG46" s="3">
        <v>0.16501099999999999</v>
      </c>
      <c r="AH46" s="3">
        <v>1.92242</v>
      </c>
      <c r="AI46" s="3">
        <v>19.628799999999998</v>
      </c>
      <c r="AJ46" s="3">
        <v>0.126667</v>
      </c>
      <c r="AK46" s="3">
        <v>0.12851499999999999</v>
      </c>
      <c r="AL46" s="3">
        <v>0</v>
      </c>
      <c r="AM46" s="3">
        <v>0</v>
      </c>
      <c r="AN46" s="3">
        <v>-0.55097499999999999</v>
      </c>
      <c r="AO46" s="3">
        <v>51.664900000000003</v>
      </c>
      <c r="AP46" s="3">
        <v>0.14228099999999999</v>
      </c>
      <c r="AQ46" s="3">
        <v>-0.93423500000000004</v>
      </c>
      <c r="AR46" s="3">
        <v>22.2057</v>
      </c>
      <c r="AS46" s="3">
        <v>0.120791</v>
      </c>
      <c r="AT46" s="3">
        <v>1.02536</v>
      </c>
      <c r="AU46" s="3">
        <v>60</v>
      </c>
      <c r="AV46" s="3">
        <v>0.50112800000000002</v>
      </c>
      <c r="AW46" s="3">
        <v>0.43239899999999998</v>
      </c>
      <c r="AX46" s="3">
        <v>0</v>
      </c>
      <c r="AY46" s="3">
        <v>0.24534600000000001</v>
      </c>
      <c r="AZ46" s="21">
        <v>-5.1469899999999999E-2</v>
      </c>
      <c r="BA46" s="3">
        <v>37.734999999999999</v>
      </c>
      <c r="BB46" s="3">
        <v>11</v>
      </c>
    </row>
    <row r="47" spans="1:54" s="3" customFormat="1" ht="189" customHeight="1" x14ac:dyDescent="0.25">
      <c r="A47" s="2">
        <v>45</v>
      </c>
      <c r="B47" s="3">
        <v>1</v>
      </c>
      <c r="C47" s="2">
        <v>1</v>
      </c>
      <c r="D47" s="9">
        <v>70</v>
      </c>
      <c r="E47" s="3" t="s">
        <v>53</v>
      </c>
      <c r="F47" s="3">
        <f t="shared" si="6"/>
        <v>2</v>
      </c>
      <c r="G47" s="11"/>
      <c r="H47" s="3" t="s">
        <v>54</v>
      </c>
      <c r="I47" s="3">
        <f t="shared" si="1"/>
        <v>1</v>
      </c>
      <c r="J47" s="3" t="s">
        <v>66</v>
      </c>
      <c r="K47" s="3">
        <v>12</v>
      </c>
      <c r="L47" s="6" t="s">
        <v>171</v>
      </c>
      <c r="M47" s="3">
        <v>-85</v>
      </c>
      <c r="N47" s="3">
        <f t="shared" si="2"/>
        <v>-0.85</v>
      </c>
      <c r="O47" s="3">
        <v>59</v>
      </c>
      <c r="P47" s="3">
        <v>0.59</v>
      </c>
      <c r="Q47" s="17">
        <v>0.1067777777777778</v>
      </c>
      <c r="R47" s="21">
        <v>0.13065803700402381</v>
      </c>
      <c r="S47" s="3">
        <v>18</v>
      </c>
      <c r="T47" s="3">
        <v>366.34</v>
      </c>
      <c r="U47" s="3">
        <v>445.88</v>
      </c>
      <c r="V47" s="26">
        <v>1.06572279091969</v>
      </c>
      <c r="W47" s="18">
        <v>4.6740898251522098E-2</v>
      </c>
      <c r="X47" s="18">
        <v>5.0422947374081199E-2</v>
      </c>
      <c r="Y47" s="18">
        <v>0.96021117418275903</v>
      </c>
      <c r="Z47" s="18">
        <v>0.44507335486657901</v>
      </c>
      <c r="AA47" s="18">
        <v>0.63057189233643496</v>
      </c>
      <c r="AB47" s="18">
        <v>0.58068970617596305</v>
      </c>
      <c r="AC47" s="18">
        <v>0.73649181123203</v>
      </c>
      <c r="AD47" s="18">
        <v>-0.88518232297412902</v>
      </c>
      <c r="AE47" s="21">
        <v>0.50066767849305804</v>
      </c>
      <c r="AF47" s="3">
        <v>0.422429</v>
      </c>
      <c r="AG47" s="3">
        <v>0.165384</v>
      </c>
      <c r="AH47" s="3">
        <v>2.3611</v>
      </c>
      <c r="AI47" s="3">
        <v>42.770899999999997</v>
      </c>
      <c r="AJ47" s="3">
        <v>0.17266500000000001</v>
      </c>
      <c r="AK47" s="3">
        <v>0.448349</v>
      </c>
      <c r="AL47" s="3">
        <v>0</v>
      </c>
      <c r="AM47" s="3">
        <v>0.61798799999999998</v>
      </c>
      <c r="AN47" s="3">
        <v>0.73395699999999997</v>
      </c>
      <c r="AO47" s="3">
        <v>56.665799999999997</v>
      </c>
      <c r="AP47" s="3">
        <v>0.27187099999999997</v>
      </c>
      <c r="AQ47" s="3">
        <v>-0.22366800000000001</v>
      </c>
      <c r="AR47" s="3">
        <v>9.1878299999999999</v>
      </c>
      <c r="AS47" s="3">
        <v>0.14918799999999999</v>
      </c>
      <c r="AT47" s="3">
        <v>1.1907099999999999</v>
      </c>
      <c r="AU47" s="3">
        <v>59.8491</v>
      </c>
      <c r="AV47" s="3">
        <v>0.391067</v>
      </c>
      <c r="AW47" s="3">
        <v>-5.72376E-2</v>
      </c>
      <c r="AX47" s="3">
        <v>9.0520500000000004E-2</v>
      </c>
      <c r="AY47" s="3">
        <v>0.136931</v>
      </c>
      <c r="AZ47" s="21">
        <v>6.4256399999999996</v>
      </c>
      <c r="BA47" s="3">
        <v>79.542000000000002</v>
      </c>
      <c r="BB47" s="3">
        <v>12</v>
      </c>
    </row>
    <row r="48" spans="1:54" s="3" customFormat="1" ht="78.75" customHeight="1" x14ac:dyDescent="0.25">
      <c r="A48" s="2">
        <v>46</v>
      </c>
      <c r="B48" s="3">
        <v>1</v>
      </c>
      <c r="C48" s="2">
        <v>1</v>
      </c>
      <c r="D48" s="9">
        <v>70</v>
      </c>
      <c r="E48" s="3" t="s">
        <v>53</v>
      </c>
      <c r="F48" s="3">
        <f t="shared" si="6"/>
        <v>2</v>
      </c>
      <c r="G48" s="11"/>
      <c r="H48" s="3" t="s">
        <v>54</v>
      </c>
      <c r="I48" s="3">
        <f t="shared" si="1"/>
        <v>1</v>
      </c>
      <c r="J48" s="3" t="s">
        <v>67</v>
      </c>
      <c r="K48" s="3">
        <v>13</v>
      </c>
      <c r="L48" s="6" t="s">
        <v>172</v>
      </c>
      <c r="M48" s="3">
        <v>-85</v>
      </c>
      <c r="N48" s="3">
        <f t="shared" si="2"/>
        <v>-0.85</v>
      </c>
      <c r="O48" s="3">
        <v>59</v>
      </c>
      <c r="P48" s="3">
        <v>0.59</v>
      </c>
      <c r="Q48" s="17">
        <v>-8.6999999999999994E-2</v>
      </c>
      <c r="R48" s="21">
        <v>0.17533586816925589</v>
      </c>
      <c r="S48" s="3">
        <v>19</v>
      </c>
      <c r="T48" s="3">
        <v>445.88</v>
      </c>
      <c r="U48" s="3">
        <v>474.59</v>
      </c>
      <c r="V48" s="26">
        <v>1.4184035872360401</v>
      </c>
      <c r="W48" s="18">
        <v>0.15724307317226199</v>
      </c>
      <c r="X48" s="18">
        <v>0.29118677512315599</v>
      </c>
      <c r="Y48" s="18">
        <v>0.83596295565205303</v>
      </c>
      <c r="Z48" s="18">
        <v>0.40190769104358198</v>
      </c>
      <c r="AA48" s="18">
        <v>1.11061913863239</v>
      </c>
      <c r="AB48" s="18">
        <v>1.5716190545686499</v>
      </c>
      <c r="AC48" s="18">
        <v>0.54703355744747595</v>
      </c>
      <c r="AD48" s="18">
        <v>-0.20881559371529301</v>
      </c>
      <c r="AE48" s="21">
        <v>0.44500402029540198</v>
      </c>
      <c r="AF48" s="3">
        <v>11.422599999999999</v>
      </c>
      <c r="AG48" s="3">
        <v>6.5345200000000006E-2</v>
      </c>
      <c r="AH48" s="3">
        <v>1.9661299999999999</v>
      </c>
      <c r="AI48" s="3">
        <v>5.3974900000000003</v>
      </c>
      <c r="AJ48" s="3">
        <v>0.128165</v>
      </c>
      <c r="AK48" s="3">
        <v>0.20296700000000001</v>
      </c>
      <c r="AL48" s="3">
        <v>0</v>
      </c>
      <c r="AM48" s="3">
        <v>0</v>
      </c>
      <c r="AN48" s="3">
        <v>-0.55097499999999999</v>
      </c>
      <c r="AO48" s="3">
        <v>55.313800000000001</v>
      </c>
      <c r="AP48" s="3">
        <v>0.27931099999999998</v>
      </c>
      <c r="AQ48" s="3">
        <v>-0.229128</v>
      </c>
      <c r="AR48" s="3">
        <v>22.552299999999999</v>
      </c>
      <c r="AS48" s="3">
        <v>6.8903800000000001E-2</v>
      </c>
      <c r="AT48" s="3">
        <v>0.844615</v>
      </c>
      <c r="AU48" s="3">
        <v>59.832599999999999</v>
      </c>
      <c r="AV48" s="3">
        <v>0.30880600000000002</v>
      </c>
      <c r="AW48" s="3">
        <v>1.30349E-2</v>
      </c>
      <c r="AX48" s="3">
        <v>0</v>
      </c>
      <c r="AY48" s="3">
        <v>0.16960600000000001</v>
      </c>
      <c r="AZ48" s="21">
        <v>-0.19419700000000001</v>
      </c>
      <c r="BA48" s="3">
        <v>28.712</v>
      </c>
      <c r="BB48" s="3">
        <v>13</v>
      </c>
    </row>
    <row r="49" spans="1:54" s="3" customFormat="1" ht="141.75" customHeight="1" x14ac:dyDescent="0.25">
      <c r="A49" s="2">
        <v>47</v>
      </c>
      <c r="B49" s="3">
        <v>1</v>
      </c>
      <c r="C49" s="2">
        <v>1</v>
      </c>
      <c r="D49" s="9">
        <v>70</v>
      </c>
      <c r="E49" s="3" t="s">
        <v>53</v>
      </c>
      <c r="F49" s="3">
        <f t="shared" si="6"/>
        <v>2</v>
      </c>
      <c r="G49" s="11"/>
      <c r="H49" s="3" t="s">
        <v>54</v>
      </c>
      <c r="I49" s="3">
        <f t="shared" si="1"/>
        <v>1</v>
      </c>
      <c r="J49" s="3" t="s">
        <v>68</v>
      </c>
      <c r="K49" s="3">
        <v>14</v>
      </c>
      <c r="L49" s="6" t="s">
        <v>173</v>
      </c>
      <c r="M49" s="3">
        <v>-85</v>
      </c>
      <c r="N49" s="3">
        <f t="shared" si="2"/>
        <v>-0.85</v>
      </c>
      <c r="O49" s="3">
        <v>59</v>
      </c>
      <c r="P49" s="3">
        <v>0.59</v>
      </c>
      <c r="Q49" s="17">
        <v>-6.3214285714285709E-2</v>
      </c>
      <c r="R49" s="21">
        <v>0.24944410986346871</v>
      </c>
      <c r="S49" s="3">
        <v>21</v>
      </c>
      <c r="T49" s="3">
        <v>485.63</v>
      </c>
      <c r="U49" s="3">
        <v>545.75</v>
      </c>
      <c r="V49" s="26">
        <v>1.04739597007472</v>
      </c>
      <c r="W49" s="18">
        <v>7.9761401470308801E-2</v>
      </c>
      <c r="X49" s="18">
        <v>1.7706527280154899E-2</v>
      </c>
      <c r="Y49" s="18">
        <v>1.0000570913747</v>
      </c>
      <c r="Z49" s="18">
        <v>-0.23738271514781201</v>
      </c>
      <c r="AA49" s="18">
        <v>-0.59845585810558199</v>
      </c>
      <c r="AB49" s="18">
        <v>-0.496671169210119</v>
      </c>
      <c r="AC49" s="18">
        <v>1.6028391620267</v>
      </c>
      <c r="AD49" s="18">
        <v>-0.44142617223630398</v>
      </c>
      <c r="AE49" s="21">
        <v>0.70978250253290198</v>
      </c>
      <c r="AF49" s="3">
        <v>5.53078</v>
      </c>
      <c r="AG49" s="3">
        <v>0.171875</v>
      </c>
      <c r="AH49" s="3">
        <v>2.0239600000000002</v>
      </c>
      <c r="AI49" s="3">
        <v>14.0566</v>
      </c>
      <c r="AJ49" s="3">
        <v>4.3173700000000002E-2</v>
      </c>
      <c r="AK49" s="3">
        <v>1.2627599999999999E-2</v>
      </c>
      <c r="AL49" s="3">
        <v>0</v>
      </c>
      <c r="AM49" s="3">
        <v>1.9516200000000001E-2</v>
      </c>
      <c r="AN49" s="3">
        <v>-0.53975799999999996</v>
      </c>
      <c r="AO49" s="3">
        <v>54.5291</v>
      </c>
      <c r="AP49" s="3">
        <v>0.22472600000000001</v>
      </c>
      <c r="AQ49" s="3">
        <v>-0.40768900000000002</v>
      </c>
      <c r="AR49" s="3">
        <v>20.7454</v>
      </c>
      <c r="AS49" s="3">
        <v>8.3238000000000006E-2</v>
      </c>
      <c r="AT49" s="3">
        <v>0.70439499999999999</v>
      </c>
      <c r="AU49" s="3">
        <v>59.460900000000002</v>
      </c>
      <c r="AV49" s="3">
        <v>0.55750500000000003</v>
      </c>
      <c r="AW49" s="3">
        <v>0.66594799999999998</v>
      </c>
      <c r="AX49" s="3">
        <v>0</v>
      </c>
      <c r="AY49" s="3">
        <v>0.14333399999999999</v>
      </c>
      <c r="AZ49" s="21">
        <v>-0.41669899999999999</v>
      </c>
      <c r="BA49" s="3">
        <v>60.12</v>
      </c>
      <c r="BB49" s="3">
        <v>14</v>
      </c>
    </row>
    <row r="50" spans="1:54" s="3" customFormat="1" ht="31.5" customHeight="1" x14ac:dyDescent="0.25">
      <c r="A50" s="2">
        <v>48</v>
      </c>
      <c r="B50" s="3">
        <v>1</v>
      </c>
      <c r="C50" s="2">
        <v>1</v>
      </c>
      <c r="D50" s="9">
        <v>70</v>
      </c>
      <c r="E50" s="3" t="s">
        <v>53</v>
      </c>
      <c r="F50" s="3">
        <f t="shared" si="6"/>
        <v>2</v>
      </c>
      <c r="G50" s="11"/>
      <c r="H50" s="3" t="s">
        <v>54</v>
      </c>
      <c r="I50" s="3">
        <f t="shared" si="1"/>
        <v>1</v>
      </c>
      <c r="J50" s="3" t="s">
        <v>69</v>
      </c>
      <c r="K50" s="3">
        <v>15</v>
      </c>
      <c r="L50" s="6" t="s">
        <v>166</v>
      </c>
      <c r="M50" s="3">
        <v>-85</v>
      </c>
      <c r="N50" s="3">
        <f t="shared" si="2"/>
        <v>-0.85</v>
      </c>
      <c r="O50" s="3">
        <v>59</v>
      </c>
      <c r="P50" s="3">
        <v>0.59</v>
      </c>
      <c r="Q50" s="17">
        <v>0.15</v>
      </c>
      <c r="R50" s="21">
        <v>0.21213203435596431</v>
      </c>
      <c r="S50" s="3">
        <v>23</v>
      </c>
      <c r="T50" s="3">
        <v>552.47</v>
      </c>
      <c r="U50" s="3">
        <v>564.59</v>
      </c>
      <c r="V50" s="26">
        <v>0.63981971503069301</v>
      </c>
      <c r="W50" s="18">
        <v>0.82806507814282604</v>
      </c>
      <c r="X50" s="18">
        <v>-7.4902977442712904E-2</v>
      </c>
      <c r="Y50" s="18">
        <v>0.47024539010734201</v>
      </c>
      <c r="Z50" s="18">
        <v>-0.34137272344866898</v>
      </c>
      <c r="AA50" s="18">
        <v>-0.93045631267850204</v>
      </c>
      <c r="AB50" s="18">
        <v>-8.6556877124699699E-2</v>
      </c>
      <c r="AC50" s="18">
        <v>-1.44333850796451</v>
      </c>
      <c r="AD50" s="18">
        <v>-0.95790050759651701</v>
      </c>
      <c r="AE50" s="21">
        <v>0.16969457569618401</v>
      </c>
      <c r="AF50" s="3">
        <v>9.3223099999999999</v>
      </c>
      <c r="AG50" s="3">
        <v>0.37140499999999999</v>
      </c>
      <c r="AH50" s="3">
        <v>2.5736500000000002</v>
      </c>
      <c r="AI50" s="3">
        <v>0.89256199999999997</v>
      </c>
      <c r="AJ50" s="3">
        <v>4.7551099999999999E-2</v>
      </c>
      <c r="AK50" s="3">
        <v>7.5126100000000001E-2</v>
      </c>
      <c r="AL50" s="3">
        <v>0</v>
      </c>
      <c r="AM50" s="3">
        <v>6.6666700000000004E-3</v>
      </c>
      <c r="AN50" s="3">
        <v>-0.54832700000000001</v>
      </c>
      <c r="AO50" s="3">
        <v>59.107399999999998</v>
      </c>
      <c r="AP50" s="3">
        <v>0.24554599999999999</v>
      </c>
      <c r="AQ50" s="3">
        <v>5.1313900000000004E-3</v>
      </c>
      <c r="AR50" s="3">
        <v>13.5868</v>
      </c>
      <c r="AS50" s="3">
        <v>0.17811199999999999</v>
      </c>
      <c r="AT50" s="3">
        <v>1.32039</v>
      </c>
      <c r="AU50" s="3">
        <v>59.405000000000001</v>
      </c>
      <c r="AV50" s="3">
        <v>0.51670700000000003</v>
      </c>
      <c r="AW50" s="3">
        <v>1.16645</v>
      </c>
      <c r="AX50" s="3">
        <v>0</v>
      </c>
      <c r="AY50" s="3">
        <v>0.16012000000000001</v>
      </c>
      <c r="AZ50" s="21">
        <v>-0.162716</v>
      </c>
      <c r="BA50" s="3">
        <v>12.12</v>
      </c>
      <c r="BB50" s="3">
        <v>15</v>
      </c>
    </row>
    <row r="51" spans="1:54" s="3" customFormat="1" ht="47.25" customHeight="1" x14ac:dyDescent="0.25">
      <c r="A51" s="2">
        <v>49</v>
      </c>
      <c r="B51" s="3">
        <v>1</v>
      </c>
      <c r="C51" s="2">
        <v>1</v>
      </c>
      <c r="D51" s="9">
        <v>70</v>
      </c>
      <c r="E51" s="3" t="s">
        <v>53</v>
      </c>
      <c r="F51" s="3">
        <f>IF(E52="Happy", 1,2)</f>
        <v>2</v>
      </c>
      <c r="G51" s="11"/>
      <c r="H51" s="3" t="s">
        <v>54</v>
      </c>
      <c r="I51" s="3">
        <f t="shared" si="1"/>
        <v>1</v>
      </c>
      <c r="J51" s="3" t="s">
        <v>70</v>
      </c>
      <c r="K51" s="3">
        <v>16</v>
      </c>
      <c r="L51" s="6" t="s">
        <v>151</v>
      </c>
      <c r="M51" s="3">
        <v>-85</v>
      </c>
      <c r="N51" s="3">
        <f t="shared" si="2"/>
        <v>-0.85</v>
      </c>
      <c r="O51" s="3">
        <v>59</v>
      </c>
      <c r="P51" s="3">
        <v>0.59</v>
      </c>
      <c r="Q51" s="17">
        <v>-0.14722222222222231</v>
      </c>
      <c r="R51" s="21">
        <v>0.57083840224837845</v>
      </c>
      <c r="S51" s="3">
        <v>25</v>
      </c>
      <c r="T51" s="3">
        <v>567.08000000000004</v>
      </c>
      <c r="U51" s="3">
        <v>585.26</v>
      </c>
      <c r="V51" s="26">
        <v>0.86506280350480003</v>
      </c>
      <c r="W51" s="18">
        <v>-0.76675430766931996</v>
      </c>
      <c r="X51" s="18">
        <v>1.7626202163302601E-2</v>
      </c>
      <c r="Y51" s="18">
        <v>1.9640811809566601</v>
      </c>
      <c r="Z51" s="18">
        <v>-5.2807099391286201E-3</v>
      </c>
      <c r="AA51" s="18">
        <v>0.423969280006532</v>
      </c>
      <c r="AB51" s="18">
        <v>-0.86840481796768498</v>
      </c>
      <c r="AC51" s="18">
        <v>-1.04462785447761</v>
      </c>
      <c r="AD51" s="18">
        <v>-1.75166767949873</v>
      </c>
      <c r="AE51" s="21">
        <v>1.82456008968056</v>
      </c>
      <c r="AF51" s="3">
        <v>12.2112</v>
      </c>
      <c r="AG51" s="3">
        <v>8.8962299999999994E-2</v>
      </c>
      <c r="AH51" s="3">
        <v>1.85206</v>
      </c>
      <c r="AI51" s="3">
        <v>7.52475</v>
      </c>
      <c r="AJ51" s="3">
        <v>8.6922700000000006E-2</v>
      </c>
      <c r="AK51" s="3">
        <v>5.57379E-2</v>
      </c>
      <c r="AL51" s="3">
        <v>0</v>
      </c>
      <c r="AM51" s="3">
        <v>0</v>
      </c>
      <c r="AN51" s="3">
        <v>-0.55097499999999999</v>
      </c>
      <c r="AO51" s="3">
        <v>56.8977</v>
      </c>
      <c r="AP51" s="3">
        <v>0.31610700000000003</v>
      </c>
      <c r="AQ51" s="3">
        <v>0.25631399999999999</v>
      </c>
      <c r="AR51" s="3">
        <v>14.7195</v>
      </c>
      <c r="AS51" s="3">
        <v>0.17669499999999999</v>
      </c>
      <c r="AT51" s="3">
        <v>1.2555000000000001</v>
      </c>
      <c r="AU51" s="3">
        <v>60</v>
      </c>
      <c r="AV51" s="3">
        <v>0.534856</v>
      </c>
      <c r="AW51" s="3">
        <v>0.304197</v>
      </c>
      <c r="AX51" s="3">
        <v>0</v>
      </c>
      <c r="AY51" s="3">
        <v>0.17019100000000001</v>
      </c>
      <c r="AZ51" s="21">
        <v>-0.23539399999999999</v>
      </c>
      <c r="BA51" s="3">
        <v>18.181999999999999</v>
      </c>
      <c r="BB51" s="3">
        <v>16</v>
      </c>
    </row>
    <row r="52" spans="1:54" s="3" customFormat="1" ht="78.75" customHeight="1" x14ac:dyDescent="0.25">
      <c r="A52" s="2">
        <v>50</v>
      </c>
      <c r="B52" s="3">
        <v>1</v>
      </c>
      <c r="C52" s="2">
        <v>1</v>
      </c>
      <c r="D52" s="9">
        <v>70</v>
      </c>
      <c r="E52" s="3" t="s">
        <v>53</v>
      </c>
      <c r="F52" s="3">
        <f>IF(E53="Happy", 1,2)</f>
        <v>2</v>
      </c>
      <c r="G52" s="11"/>
      <c r="H52" s="3" t="s">
        <v>54</v>
      </c>
      <c r="I52" s="3">
        <f t="shared" si="1"/>
        <v>1</v>
      </c>
      <c r="J52" s="3" t="s">
        <v>71</v>
      </c>
      <c r="K52" s="3">
        <v>17</v>
      </c>
      <c r="L52" s="6" t="s">
        <v>170</v>
      </c>
      <c r="M52" s="3">
        <v>-85</v>
      </c>
      <c r="N52" s="3">
        <f t="shared" si="2"/>
        <v>-0.85</v>
      </c>
      <c r="O52" s="3">
        <v>59</v>
      </c>
      <c r="P52" s="3">
        <v>0.59</v>
      </c>
      <c r="Q52" s="17">
        <v>0.16808333333333331</v>
      </c>
      <c r="R52" s="21">
        <v>0.17177727019473671</v>
      </c>
      <c r="S52" s="3">
        <v>27</v>
      </c>
      <c r="T52" s="3">
        <v>589.16999999999996</v>
      </c>
      <c r="U52" s="3">
        <v>627.27</v>
      </c>
      <c r="V52" s="26">
        <v>0.52078038334560794</v>
      </c>
      <c r="W52" s="18">
        <v>1.8518799254055101</v>
      </c>
      <c r="X52" s="18">
        <v>4.3477502270255597E-2</v>
      </c>
      <c r="Y52" s="18">
        <v>0.93333834630911605</v>
      </c>
      <c r="Z52" s="18">
        <v>0.91539442459576204</v>
      </c>
      <c r="AA52" s="18">
        <v>1.0990798364582901</v>
      </c>
      <c r="AB52" s="18">
        <v>-1.14145396439714</v>
      </c>
      <c r="AC52" s="18">
        <v>-6.5171098438434605E-2</v>
      </c>
      <c r="AD52" s="18">
        <v>0.23055994349106301</v>
      </c>
      <c r="AE52" s="21">
        <v>0.73385327364540198</v>
      </c>
      <c r="AF52" s="3">
        <v>2.1743700000000001</v>
      </c>
      <c r="AG52" s="3">
        <v>0.21934200000000001</v>
      </c>
      <c r="AH52" s="3">
        <v>2.4047499999999999</v>
      </c>
      <c r="AI52" s="3">
        <v>9.76891</v>
      </c>
      <c r="AJ52" s="3">
        <v>3.6009300000000001E-2</v>
      </c>
      <c r="AK52" s="3">
        <v>-2.8600799999999999E-2</v>
      </c>
      <c r="AL52" s="3">
        <v>0</v>
      </c>
      <c r="AM52" s="3">
        <v>0</v>
      </c>
      <c r="AN52" s="3">
        <v>-0.55097499999999999</v>
      </c>
      <c r="AO52" s="3">
        <v>57.636600000000001</v>
      </c>
      <c r="AP52" s="3">
        <v>0.231768</v>
      </c>
      <c r="AQ52" s="3">
        <v>-0.30860300000000002</v>
      </c>
      <c r="AR52" s="3">
        <v>27.5105</v>
      </c>
      <c r="AS52" s="3">
        <v>3.6147800000000001E-2</v>
      </c>
      <c r="AT52" s="3">
        <v>0.47204699999999999</v>
      </c>
      <c r="AU52" s="3">
        <v>60</v>
      </c>
      <c r="AV52" s="3">
        <v>0.46630199999999999</v>
      </c>
      <c r="AW52" s="3">
        <v>0.30101600000000001</v>
      </c>
      <c r="AX52" s="3">
        <v>0.34663899999999997</v>
      </c>
      <c r="AY52" s="3">
        <v>0.12464500000000001</v>
      </c>
      <c r="AZ52" s="21">
        <v>6.05436</v>
      </c>
      <c r="BA52" s="3">
        <v>38.1</v>
      </c>
      <c r="BB52" s="3">
        <v>17</v>
      </c>
    </row>
    <row r="53" spans="1:54" s="3" customFormat="1" ht="47.25" customHeight="1" x14ac:dyDescent="0.25">
      <c r="A53" s="2">
        <v>51</v>
      </c>
      <c r="B53" s="3">
        <v>1</v>
      </c>
      <c r="C53" s="2">
        <v>1</v>
      </c>
      <c r="D53" s="9">
        <v>70</v>
      </c>
      <c r="E53" s="3" t="s">
        <v>53</v>
      </c>
      <c r="F53" s="3">
        <f t="shared" ref="F53:F60" si="7">IF(E53="Happy", 1,2)</f>
        <v>2</v>
      </c>
      <c r="G53" s="11"/>
      <c r="H53" s="3" t="s">
        <v>54</v>
      </c>
      <c r="I53" s="3">
        <f t="shared" si="1"/>
        <v>1</v>
      </c>
      <c r="J53" s="3" t="s">
        <v>72</v>
      </c>
      <c r="K53" s="3">
        <v>18</v>
      </c>
      <c r="L53" s="6" t="s">
        <v>174</v>
      </c>
      <c r="M53" s="3">
        <v>-85</v>
      </c>
      <c r="N53" s="3">
        <f t="shared" si="2"/>
        <v>-0.85</v>
      </c>
      <c r="O53" s="3">
        <v>59</v>
      </c>
      <c r="P53" s="3">
        <v>0.59</v>
      </c>
      <c r="Q53" s="17">
        <v>-0.05</v>
      </c>
      <c r="R53" s="21">
        <v>0.229128784747792</v>
      </c>
      <c r="S53" s="3">
        <v>29</v>
      </c>
      <c r="T53" s="3">
        <v>639.87</v>
      </c>
      <c r="U53" s="3">
        <v>656.83</v>
      </c>
      <c r="V53" s="26">
        <v>1.4496679875457901</v>
      </c>
      <c r="W53" s="18">
        <v>5.9615543358304102E-2</v>
      </c>
      <c r="X53" s="18">
        <v>1.6046122133173399</v>
      </c>
      <c r="Y53" s="18">
        <v>0.90098284378309701</v>
      </c>
      <c r="Z53" s="18">
        <v>0.69344904616896097</v>
      </c>
      <c r="AA53" s="18">
        <v>0.59558571021283302</v>
      </c>
      <c r="AB53" s="18">
        <v>0.95470577190764205</v>
      </c>
      <c r="AC53" s="18">
        <v>-1.65011663942713</v>
      </c>
      <c r="AD53" s="18">
        <v>-0.40156258909993497</v>
      </c>
      <c r="AE53" s="21">
        <v>0.527747295994621</v>
      </c>
      <c r="AF53" s="3">
        <v>3.2585600000000001</v>
      </c>
      <c r="AG53" s="3">
        <v>0.231491</v>
      </c>
      <c r="AH53" s="3">
        <v>2.43851</v>
      </c>
      <c r="AI53" s="3">
        <v>31.877199999999998</v>
      </c>
      <c r="AJ53" s="3">
        <v>7.2970599999999997E-2</v>
      </c>
      <c r="AK53" s="3">
        <v>0.110994</v>
      </c>
      <c r="AL53" s="3">
        <v>0</v>
      </c>
      <c r="AM53" s="3">
        <v>0</v>
      </c>
      <c r="AN53" s="3">
        <v>-0.55097499999999999</v>
      </c>
      <c r="AO53" s="3">
        <v>55.749699999999997</v>
      </c>
      <c r="AP53" s="3">
        <v>0.17129</v>
      </c>
      <c r="AQ53" s="3">
        <v>-0.493645</v>
      </c>
      <c r="AR53" s="3">
        <v>7.7922099999999999</v>
      </c>
      <c r="AS53" s="3">
        <v>2.5385899999999999E-2</v>
      </c>
      <c r="AT53" s="3">
        <v>0.46448200000000001</v>
      </c>
      <c r="AU53" s="3">
        <v>58.228999999999999</v>
      </c>
      <c r="AV53" s="3">
        <v>0.40201900000000002</v>
      </c>
      <c r="AW53" s="3">
        <v>-0.20924499999999999</v>
      </c>
      <c r="AX53" s="3">
        <v>0</v>
      </c>
      <c r="AY53" s="3">
        <v>0.151755</v>
      </c>
      <c r="AZ53" s="21">
        <v>-0.25044</v>
      </c>
      <c r="BA53" s="3">
        <v>16.96</v>
      </c>
      <c r="BB53" s="3">
        <v>18</v>
      </c>
    </row>
    <row r="54" spans="1:54" s="3" customFormat="1" ht="63" customHeight="1" x14ac:dyDescent="0.25">
      <c r="A54" s="2">
        <v>52</v>
      </c>
      <c r="B54" s="3">
        <v>1</v>
      </c>
      <c r="C54" s="2">
        <v>1</v>
      </c>
      <c r="D54" s="9">
        <v>70</v>
      </c>
      <c r="E54" s="3" t="s">
        <v>53</v>
      </c>
      <c r="F54" s="3">
        <f t="shared" si="7"/>
        <v>2</v>
      </c>
      <c r="G54" s="11"/>
      <c r="H54" s="3" t="s">
        <v>54</v>
      </c>
      <c r="I54" s="3">
        <f t="shared" si="1"/>
        <v>1</v>
      </c>
      <c r="J54" s="3" t="s">
        <v>73</v>
      </c>
      <c r="K54" s="3">
        <v>19</v>
      </c>
      <c r="L54" s="6" t="s">
        <v>175</v>
      </c>
      <c r="M54" s="3">
        <v>-85</v>
      </c>
      <c r="N54" s="3">
        <f t="shared" si="2"/>
        <v>-0.85</v>
      </c>
      <c r="O54" s="3">
        <v>59</v>
      </c>
      <c r="P54" s="3">
        <v>0.59</v>
      </c>
      <c r="Q54" s="17">
        <v>5.000000000000007E-3</v>
      </c>
      <c r="R54" s="21">
        <v>0.31444395367060252</v>
      </c>
      <c r="S54" s="3">
        <v>30</v>
      </c>
      <c r="T54" s="3">
        <v>656.83</v>
      </c>
      <c r="U54" s="3">
        <v>688.61</v>
      </c>
      <c r="V54" s="26">
        <v>1.74658628630044</v>
      </c>
      <c r="W54" s="18">
        <v>1.6283193506275799</v>
      </c>
      <c r="X54" s="18">
        <v>0.37817352166636597</v>
      </c>
      <c r="Y54" s="18">
        <v>0.82615591789356202</v>
      </c>
      <c r="Z54" s="18">
        <v>-0.26046595783390902</v>
      </c>
      <c r="AA54" s="18">
        <v>-0.34772155288643303</v>
      </c>
      <c r="AB54" s="18">
        <v>0.93140109332985399</v>
      </c>
      <c r="AC54" s="18">
        <v>0.202403338343109</v>
      </c>
      <c r="AD54" s="18">
        <v>0.13593869121132901</v>
      </c>
      <c r="AE54" s="21">
        <v>0.41190671001571499</v>
      </c>
      <c r="AF54" s="3">
        <v>11.3728</v>
      </c>
      <c r="AG54" s="3">
        <v>7.8254799999999999E-2</v>
      </c>
      <c r="AH54" s="3">
        <v>1.90323</v>
      </c>
      <c r="AI54" s="3">
        <v>14.773300000000001</v>
      </c>
      <c r="AJ54" s="3">
        <v>0.13351299999999999</v>
      </c>
      <c r="AK54" s="3">
        <v>0.48379299999999997</v>
      </c>
      <c r="AL54" s="3">
        <v>0</v>
      </c>
      <c r="AM54" s="3">
        <v>2.0730100000000001E-2</v>
      </c>
      <c r="AN54" s="3">
        <v>-0.54315400000000003</v>
      </c>
      <c r="AO54" s="3">
        <v>54.143599999999999</v>
      </c>
      <c r="AP54" s="3">
        <v>0.212563</v>
      </c>
      <c r="AQ54" s="3">
        <v>6.7284300000000005E-2</v>
      </c>
      <c r="AR54" s="3">
        <v>1.5113399999999999</v>
      </c>
      <c r="AS54" s="3">
        <v>0.15864200000000001</v>
      </c>
      <c r="AT54" s="3">
        <v>1.08755</v>
      </c>
      <c r="AU54" s="3">
        <v>59.697699999999998</v>
      </c>
      <c r="AV54" s="3">
        <v>0.40743400000000002</v>
      </c>
      <c r="AW54" s="3">
        <v>-0.32919399999999999</v>
      </c>
      <c r="AX54" s="3">
        <v>0</v>
      </c>
      <c r="AY54" s="3">
        <v>0.154229</v>
      </c>
      <c r="AZ54" s="21">
        <v>-0.36765799999999998</v>
      </c>
      <c r="BA54" s="3">
        <v>31.785</v>
      </c>
      <c r="BB54" s="3">
        <v>19</v>
      </c>
    </row>
    <row r="55" spans="1:54" s="3" customFormat="1" ht="63" customHeight="1" x14ac:dyDescent="0.25">
      <c r="A55" s="2">
        <v>53</v>
      </c>
      <c r="B55" s="3">
        <v>1</v>
      </c>
      <c r="C55" s="2">
        <v>1</v>
      </c>
      <c r="D55" s="9">
        <v>70</v>
      </c>
      <c r="E55" s="3" t="s">
        <v>53</v>
      </c>
      <c r="F55" s="3">
        <f t="shared" si="7"/>
        <v>2</v>
      </c>
      <c r="G55" s="11"/>
      <c r="H55" s="3" t="s">
        <v>54</v>
      </c>
      <c r="I55" s="3">
        <f t="shared" si="1"/>
        <v>1</v>
      </c>
      <c r="J55" s="3" t="s">
        <v>74</v>
      </c>
      <c r="K55" s="3">
        <v>20</v>
      </c>
      <c r="L55" s="6" t="s">
        <v>152</v>
      </c>
      <c r="M55" s="3">
        <v>-85</v>
      </c>
      <c r="N55" s="3">
        <f t="shared" si="2"/>
        <v>-0.85</v>
      </c>
      <c r="O55" s="3">
        <v>59</v>
      </c>
      <c r="P55" s="3">
        <v>0.59</v>
      </c>
      <c r="Q55" s="17">
        <v>-3.8888888888888883E-2</v>
      </c>
      <c r="R55" s="21">
        <v>0.21688023662159039</v>
      </c>
      <c r="S55" s="3">
        <v>31</v>
      </c>
      <c r="T55" s="3">
        <v>688.61</v>
      </c>
      <c r="U55" s="3">
        <v>713.04</v>
      </c>
      <c r="V55" s="26">
        <v>0.40308411181520898</v>
      </c>
      <c r="W55" s="18">
        <v>0.22779644009217601</v>
      </c>
      <c r="X55" s="18">
        <v>-0.18205400581973599</v>
      </c>
      <c r="Y55" s="18">
        <v>2.36601528751497</v>
      </c>
      <c r="Z55" s="18">
        <v>1.1000603660845201</v>
      </c>
      <c r="AA55" s="18">
        <v>1.0002899064092701</v>
      </c>
      <c r="AB55" s="18">
        <v>-0.31263628477108502</v>
      </c>
      <c r="AC55" s="18">
        <v>-1.2210078332807699</v>
      </c>
      <c r="AD55" s="18">
        <v>-1.1629132208692701</v>
      </c>
      <c r="AE55" s="21">
        <v>0.13208399583290301</v>
      </c>
      <c r="AF55" s="3">
        <v>4.9180299999999999</v>
      </c>
      <c r="AG55" s="3">
        <v>6.7188399999999995E-2</v>
      </c>
      <c r="AH55" s="3">
        <v>1.7625200000000001</v>
      </c>
      <c r="AI55" s="3">
        <v>19.032800000000002</v>
      </c>
      <c r="AJ55" s="3">
        <v>8.3469500000000002E-2</v>
      </c>
      <c r="AK55" s="3">
        <v>0.18015999999999999</v>
      </c>
      <c r="AL55" s="3">
        <v>0</v>
      </c>
      <c r="AM55" s="3">
        <v>0</v>
      </c>
      <c r="AN55" s="3">
        <v>-0.55097499999999999</v>
      </c>
      <c r="AO55" s="3">
        <v>56.508200000000002</v>
      </c>
      <c r="AP55" s="3">
        <v>0.23117399999999999</v>
      </c>
      <c r="AQ55" s="3">
        <v>2.3966899999999999E-2</v>
      </c>
      <c r="AR55" s="3">
        <v>7.9180299999999999</v>
      </c>
      <c r="AS55" s="3">
        <v>0.22994600000000001</v>
      </c>
      <c r="AT55" s="3">
        <v>0.89567799999999997</v>
      </c>
      <c r="AU55" s="3">
        <v>59.901600000000002</v>
      </c>
      <c r="AV55" s="3">
        <v>0.37464199999999998</v>
      </c>
      <c r="AW55" s="3">
        <v>0.138597</v>
      </c>
      <c r="AX55" s="3">
        <v>0</v>
      </c>
      <c r="AY55" s="3">
        <v>0.267872</v>
      </c>
      <c r="AZ55" s="21">
        <v>0.15929499999999999</v>
      </c>
      <c r="BA55" s="3">
        <v>24.425000000000001</v>
      </c>
      <c r="BB55" s="3">
        <v>20</v>
      </c>
    </row>
    <row r="56" spans="1:54" s="3" customFormat="1" ht="78.75" customHeight="1" x14ac:dyDescent="0.25">
      <c r="A56" s="2">
        <v>54</v>
      </c>
      <c r="B56" s="3">
        <v>1</v>
      </c>
      <c r="C56" s="2">
        <v>1</v>
      </c>
      <c r="D56" s="9">
        <v>70</v>
      </c>
      <c r="E56" s="3" t="s">
        <v>53</v>
      </c>
      <c r="F56" s="3">
        <f t="shared" si="7"/>
        <v>2</v>
      </c>
      <c r="G56" s="11"/>
      <c r="H56" s="3" t="s">
        <v>54</v>
      </c>
      <c r="I56" s="3">
        <f t="shared" si="1"/>
        <v>1</v>
      </c>
      <c r="J56" s="3" t="s">
        <v>75</v>
      </c>
      <c r="K56" s="3">
        <v>21</v>
      </c>
      <c r="L56" s="6" t="s">
        <v>176</v>
      </c>
      <c r="M56" s="3">
        <v>-85</v>
      </c>
      <c r="N56" s="3">
        <f t="shared" si="2"/>
        <v>-0.85</v>
      </c>
      <c r="O56" s="3">
        <v>59</v>
      </c>
      <c r="P56" s="3">
        <v>0.59</v>
      </c>
      <c r="Q56" s="17">
        <v>-1.095238095238096E-2</v>
      </c>
      <c r="R56" s="21">
        <v>0.39931290193380142</v>
      </c>
      <c r="S56" s="3">
        <v>33</v>
      </c>
      <c r="T56" s="3">
        <v>713.85</v>
      </c>
      <c r="U56" s="3">
        <v>750.95</v>
      </c>
      <c r="V56" s="26">
        <v>-1.37828967462105</v>
      </c>
      <c r="W56" s="18">
        <v>3.50118783449197E-2</v>
      </c>
      <c r="X56" s="18">
        <v>-0.35161497248707002</v>
      </c>
      <c r="Y56" s="18">
        <v>-0.75486212200557501</v>
      </c>
      <c r="Z56" s="18">
        <v>-0.36422513370790299</v>
      </c>
      <c r="AA56" s="18">
        <v>-0.35815602825662901</v>
      </c>
      <c r="AB56" s="18">
        <v>-0.36002646878622901</v>
      </c>
      <c r="AC56" s="18">
        <v>-0.449743076269769</v>
      </c>
      <c r="AD56" s="18">
        <v>1.0024240477359301</v>
      </c>
      <c r="AE56" s="21">
        <v>7.0402644857122304E-2</v>
      </c>
      <c r="AF56" s="3">
        <v>17.961200000000002</v>
      </c>
      <c r="AG56" s="3">
        <v>0.101831</v>
      </c>
      <c r="AH56" s="3">
        <v>1.7851699999999999</v>
      </c>
      <c r="AI56" s="3">
        <v>5.8899699999999999</v>
      </c>
      <c r="AJ56" s="3">
        <v>8.3164500000000002E-2</v>
      </c>
      <c r="AK56" s="3">
        <v>0.127474</v>
      </c>
      <c r="AL56" s="3">
        <v>0</v>
      </c>
      <c r="AM56" s="3">
        <v>0</v>
      </c>
      <c r="AN56" s="3">
        <v>-0.55097499999999999</v>
      </c>
      <c r="AO56" s="3">
        <v>57.443399999999997</v>
      </c>
      <c r="AP56" s="3">
        <v>0.73344799999999999</v>
      </c>
      <c r="AQ56" s="3">
        <v>1.0452900000000001</v>
      </c>
      <c r="AR56" s="3">
        <v>27.055</v>
      </c>
      <c r="AS56" s="3">
        <v>0.72909199999999996</v>
      </c>
      <c r="AT56" s="3">
        <v>2.8713299999999999</v>
      </c>
      <c r="AU56" s="3">
        <v>60</v>
      </c>
      <c r="AV56" s="3">
        <v>0.53180499999999997</v>
      </c>
      <c r="AW56" s="3">
        <v>0.24410799999999999</v>
      </c>
      <c r="AX56" s="3">
        <v>0</v>
      </c>
      <c r="AY56" s="3">
        <v>0.21718499999999999</v>
      </c>
      <c r="AZ56" s="21">
        <v>-0.25520500000000002</v>
      </c>
      <c r="BA56" s="3">
        <v>37.101999999999997</v>
      </c>
      <c r="BB56" s="3">
        <v>21</v>
      </c>
    </row>
    <row r="57" spans="1:54" s="3" customFormat="1" ht="189" customHeight="1" x14ac:dyDescent="0.25">
      <c r="A57" s="2">
        <v>55</v>
      </c>
      <c r="B57" s="3">
        <v>1</v>
      </c>
      <c r="C57" s="2">
        <v>1</v>
      </c>
      <c r="D57" s="9">
        <v>70</v>
      </c>
      <c r="E57" s="3" t="s">
        <v>53</v>
      </c>
      <c r="F57" s="3">
        <f t="shared" si="7"/>
        <v>2</v>
      </c>
      <c r="G57" s="11" t="s">
        <v>76</v>
      </c>
      <c r="H57" s="3" t="s">
        <v>76</v>
      </c>
      <c r="I57" s="3">
        <f t="shared" si="1"/>
        <v>2</v>
      </c>
      <c r="J57" s="3" t="s">
        <v>77</v>
      </c>
      <c r="K57" s="3">
        <v>1</v>
      </c>
      <c r="L57" s="6" t="s">
        <v>177</v>
      </c>
      <c r="M57" s="3">
        <v>-100</v>
      </c>
      <c r="N57" s="3">
        <f t="shared" si="2"/>
        <v>-1</v>
      </c>
      <c r="O57" s="3">
        <v>6</v>
      </c>
      <c r="P57" s="3">
        <v>0.06</v>
      </c>
      <c r="Q57" s="17">
        <v>0.2348424369747899</v>
      </c>
      <c r="R57" s="21">
        <v>0.2363730450763343</v>
      </c>
      <c r="S57" s="3">
        <v>2</v>
      </c>
      <c r="T57" s="3">
        <v>26.28</v>
      </c>
      <c r="U57" s="3">
        <v>117.42</v>
      </c>
      <c r="V57" s="26">
        <v>4.2684969799765902E-2</v>
      </c>
      <c r="W57" s="18">
        <v>-0.70920027975552702</v>
      </c>
      <c r="X57" s="18">
        <v>-0.28054330909618902</v>
      </c>
      <c r="Y57" s="18">
        <v>0.382213712590243</v>
      </c>
      <c r="Z57" s="18">
        <v>-0.59517297678228198</v>
      </c>
      <c r="AA57" s="18">
        <v>-0.54201762220619198</v>
      </c>
      <c r="AB57" s="18">
        <v>-0.22127954220196899</v>
      </c>
      <c r="AC57" s="18">
        <v>-0.28255323664272802</v>
      </c>
      <c r="AD57" s="18">
        <v>1.5662090092360099</v>
      </c>
      <c r="AE57" s="21">
        <v>-0.50278259225928301</v>
      </c>
      <c r="AF57" s="3">
        <v>3.2265100000000002</v>
      </c>
      <c r="AG57" s="3">
        <v>8.0450099999999997E-2</v>
      </c>
      <c r="AH57" s="3">
        <v>2.66256</v>
      </c>
      <c r="AI57" s="3">
        <v>6.4266899999999998</v>
      </c>
      <c r="AJ57" s="3">
        <v>6.3455999999999999E-2</v>
      </c>
      <c r="AK57" s="3">
        <v>0.268679</v>
      </c>
      <c r="AL57" s="3">
        <v>0</v>
      </c>
      <c r="AM57" s="3">
        <v>0</v>
      </c>
      <c r="AN57" s="3">
        <v>-0.53097899999999998</v>
      </c>
      <c r="AO57" s="3">
        <v>54.758600000000001</v>
      </c>
      <c r="AP57" s="3">
        <v>0.219114</v>
      </c>
      <c r="AQ57" s="3">
        <v>-0.17183499999999999</v>
      </c>
      <c r="AR57" s="3">
        <v>24.205400000000001</v>
      </c>
      <c r="AS57" s="3">
        <v>2.5448399999999999E-2</v>
      </c>
      <c r="AT57" s="3">
        <v>0.46625100000000003</v>
      </c>
      <c r="AU57" s="3">
        <v>57.089599999999997</v>
      </c>
      <c r="AV57" s="3">
        <v>0.83761200000000002</v>
      </c>
      <c r="AW57" s="3">
        <v>0.13406399999999999</v>
      </c>
      <c r="AX57" s="3">
        <v>0.35557499999999997</v>
      </c>
      <c r="AY57" s="3">
        <v>9.6001900000000001E-2</v>
      </c>
      <c r="AZ57" s="21">
        <v>4.1196299999999999</v>
      </c>
      <c r="BA57" s="3">
        <v>91.135000000000005</v>
      </c>
      <c r="BB57" s="3">
        <v>1</v>
      </c>
    </row>
    <row r="58" spans="1:54" s="3" customFormat="1" ht="126" customHeight="1" x14ac:dyDescent="0.25">
      <c r="A58" s="2">
        <v>56</v>
      </c>
      <c r="B58" s="3">
        <v>1</v>
      </c>
      <c r="C58" s="2">
        <v>1</v>
      </c>
      <c r="D58" s="9">
        <v>70</v>
      </c>
      <c r="E58" s="3" t="s">
        <v>53</v>
      </c>
      <c r="F58" s="3">
        <f t="shared" si="7"/>
        <v>2</v>
      </c>
      <c r="G58" s="11"/>
      <c r="H58" s="3" t="s">
        <v>76</v>
      </c>
      <c r="I58" s="3">
        <f t="shared" si="1"/>
        <v>2</v>
      </c>
      <c r="J58" s="3" t="s">
        <v>78</v>
      </c>
      <c r="K58" s="3">
        <v>2</v>
      </c>
      <c r="L58" s="6" t="s">
        <v>178</v>
      </c>
      <c r="M58" s="3">
        <v>-100</v>
      </c>
      <c r="N58" s="3">
        <f t="shared" si="2"/>
        <v>-1</v>
      </c>
      <c r="O58" s="3">
        <v>6</v>
      </c>
      <c r="P58" s="3">
        <v>0.06</v>
      </c>
      <c r="Q58" s="17">
        <v>-0.1049333333333333</v>
      </c>
      <c r="R58" s="21">
        <v>0.34642644098328529</v>
      </c>
      <c r="S58" s="3">
        <v>3</v>
      </c>
      <c r="T58" s="3">
        <v>117.42</v>
      </c>
      <c r="U58" s="3">
        <v>169.16</v>
      </c>
      <c r="V58" s="26">
        <v>0.30636677991625899</v>
      </c>
      <c r="W58" s="18">
        <v>1.6619528192374201E-2</v>
      </c>
      <c r="X58" s="18">
        <v>-0.17489436040430401</v>
      </c>
      <c r="Y58" s="18">
        <v>0.26568757103471902</v>
      </c>
      <c r="Z58" s="18">
        <v>-0.459674342214906</v>
      </c>
      <c r="AA58" s="18">
        <v>-0.70614578185270505</v>
      </c>
      <c r="AB58" s="18">
        <v>0.66796212363350704</v>
      </c>
      <c r="AC58" s="18">
        <v>0.60535559452667598</v>
      </c>
      <c r="AD58" s="18">
        <v>-1.7820843743237301E-2</v>
      </c>
      <c r="AE58" s="21">
        <v>0.14712822777821599</v>
      </c>
      <c r="AF58" s="3">
        <v>0.25522</v>
      </c>
      <c r="AG58" s="3">
        <v>0.149897</v>
      </c>
      <c r="AH58" s="3">
        <v>2.8401399999999999</v>
      </c>
      <c r="AI58" s="3">
        <v>10.1624</v>
      </c>
      <c r="AJ58" s="3">
        <v>0.17719099999999999</v>
      </c>
      <c r="AK58" s="3">
        <v>1.06342</v>
      </c>
      <c r="AL58" s="3">
        <v>0</v>
      </c>
      <c r="AM58" s="3">
        <v>0.42840400000000001</v>
      </c>
      <c r="AN58" s="3">
        <v>0.50934299999999999</v>
      </c>
      <c r="AO58" s="3">
        <v>48.399099999999997</v>
      </c>
      <c r="AP58" s="3">
        <v>0.40373799999999999</v>
      </c>
      <c r="AQ58" s="3">
        <v>0.72263299999999997</v>
      </c>
      <c r="AR58" s="3">
        <v>12.3202</v>
      </c>
      <c r="AS58" s="3">
        <v>0.636772</v>
      </c>
      <c r="AT58" s="3">
        <v>3.0319199999999999</v>
      </c>
      <c r="AU58" s="3">
        <v>57.517400000000002</v>
      </c>
      <c r="AV58" s="3">
        <v>0.73846100000000003</v>
      </c>
      <c r="AW58" s="3">
        <v>6.8870200000000006E-2</v>
      </c>
      <c r="AX58" s="3">
        <v>0</v>
      </c>
      <c r="AY58" s="3">
        <v>0.23308899999999999</v>
      </c>
      <c r="AZ58" s="21">
        <v>-0.299842</v>
      </c>
      <c r="BA58" s="3">
        <v>51.744999999999997</v>
      </c>
      <c r="BB58" s="3">
        <v>2</v>
      </c>
    </row>
    <row r="59" spans="1:54" s="3" customFormat="1" ht="94.5" customHeight="1" x14ac:dyDescent="0.25">
      <c r="A59" s="2">
        <v>57</v>
      </c>
      <c r="B59" s="3">
        <v>1</v>
      </c>
      <c r="C59" s="2">
        <v>1</v>
      </c>
      <c r="D59" s="9">
        <v>70</v>
      </c>
      <c r="E59" s="3" t="s">
        <v>53</v>
      </c>
      <c r="F59" s="3">
        <f t="shared" si="7"/>
        <v>2</v>
      </c>
      <c r="G59" s="11"/>
      <c r="H59" s="3" t="s">
        <v>76</v>
      </c>
      <c r="I59" s="3">
        <f t="shared" si="1"/>
        <v>2</v>
      </c>
      <c r="J59" s="3" t="s">
        <v>79</v>
      </c>
      <c r="K59" s="3">
        <v>3</v>
      </c>
      <c r="L59" s="6" t="s">
        <v>143</v>
      </c>
      <c r="M59" s="3">
        <v>-100</v>
      </c>
      <c r="N59" s="3">
        <f t="shared" si="2"/>
        <v>-1</v>
      </c>
      <c r="O59" s="3">
        <v>6</v>
      </c>
      <c r="P59" s="3">
        <v>0.06</v>
      </c>
      <c r="Q59" s="17">
        <v>0.18916666666666671</v>
      </c>
      <c r="R59" s="21">
        <v>0.28631207305072409</v>
      </c>
      <c r="S59" s="3">
        <v>4</v>
      </c>
      <c r="T59" s="3">
        <v>169.16</v>
      </c>
      <c r="U59" s="3">
        <v>212.72</v>
      </c>
      <c r="V59" s="26">
        <v>0.50090649320852298</v>
      </c>
      <c r="W59" s="18">
        <v>0.44429622282002401</v>
      </c>
      <c r="X59" s="18">
        <v>5.1758090512021198E-3</v>
      </c>
      <c r="Y59" s="18">
        <v>0.19008843744767201</v>
      </c>
      <c r="Z59" s="18">
        <v>-0.658998142809334</v>
      </c>
      <c r="AA59" s="18">
        <v>-0.75656884959751103</v>
      </c>
      <c r="AB59" s="18">
        <v>-0.27119239760955199</v>
      </c>
      <c r="AC59" s="18">
        <v>0.33247915437429498</v>
      </c>
      <c r="AD59" s="18">
        <v>-0.12295556849849699</v>
      </c>
      <c r="AE59" s="21">
        <v>4.0314180966497297E-2</v>
      </c>
      <c r="AF59" s="3">
        <v>1.98438</v>
      </c>
      <c r="AG59" s="3">
        <v>0.112992</v>
      </c>
      <c r="AH59" s="3">
        <v>2.6634000000000002</v>
      </c>
      <c r="AI59" s="3">
        <v>5.5948599999999997</v>
      </c>
      <c r="AJ59" s="3">
        <v>0.101913</v>
      </c>
      <c r="AK59" s="3">
        <v>0.36249500000000001</v>
      </c>
      <c r="AL59" s="3">
        <v>0</v>
      </c>
      <c r="AM59" s="3">
        <v>0.32410600000000001</v>
      </c>
      <c r="AN59" s="3">
        <v>-2.1592299999999998E-2</v>
      </c>
      <c r="AO59" s="3">
        <v>51.180500000000002</v>
      </c>
      <c r="AP59" s="3">
        <v>0.46479799999999999</v>
      </c>
      <c r="AQ59" s="3">
        <v>0.94872599999999996</v>
      </c>
      <c r="AR59" s="3">
        <v>27.478200000000001</v>
      </c>
      <c r="AS59" s="3">
        <v>0.106268</v>
      </c>
      <c r="AT59" s="3">
        <v>0.75064500000000001</v>
      </c>
      <c r="AU59" s="3">
        <v>58.759799999999998</v>
      </c>
      <c r="AV59" s="3">
        <v>0.26335399999999998</v>
      </c>
      <c r="AW59" s="3">
        <v>-1.5604100000000001</v>
      </c>
      <c r="AX59" s="3">
        <v>0.44097399999999998</v>
      </c>
      <c r="AY59" s="3">
        <v>0.86624800000000002</v>
      </c>
      <c r="AZ59" s="21">
        <v>8.2467400000000008</v>
      </c>
      <c r="BA59" s="3">
        <v>43.555</v>
      </c>
      <c r="BB59" s="3">
        <v>3</v>
      </c>
    </row>
    <row r="60" spans="1:54" s="3" customFormat="1" ht="252" customHeight="1" x14ac:dyDescent="0.25">
      <c r="A60" s="2">
        <v>58</v>
      </c>
      <c r="B60" s="3">
        <v>1</v>
      </c>
      <c r="C60" s="2">
        <v>1</v>
      </c>
      <c r="D60" s="9">
        <v>70</v>
      </c>
      <c r="E60" s="3" t="s">
        <v>53</v>
      </c>
      <c r="F60" s="3">
        <f t="shared" si="7"/>
        <v>2</v>
      </c>
      <c r="G60" s="11"/>
      <c r="H60" s="3" t="s">
        <v>76</v>
      </c>
      <c r="I60" s="3">
        <f t="shared" si="1"/>
        <v>2</v>
      </c>
      <c r="J60" s="3" t="s">
        <v>80</v>
      </c>
      <c r="K60" s="3">
        <v>4</v>
      </c>
      <c r="L60" s="6" t="s">
        <v>179</v>
      </c>
      <c r="M60" s="3">
        <v>-100</v>
      </c>
      <c r="N60" s="3">
        <f t="shared" si="2"/>
        <v>-1</v>
      </c>
      <c r="O60" s="3">
        <v>6</v>
      </c>
      <c r="P60" s="3">
        <v>0.06</v>
      </c>
      <c r="Q60" s="17">
        <v>3.0884502923976612E-2</v>
      </c>
      <c r="R60" s="21">
        <v>0.38894185929624769</v>
      </c>
      <c r="S60" s="3">
        <v>6</v>
      </c>
      <c r="T60" s="3">
        <v>226.98</v>
      </c>
      <c r="U60" s="3">
        <v>327.55</v>
      </c>
      <c r="V60" s="26">
        <v>-0.801470839324948</v>
      </c>
      <c r="W60" s="18">
        <v>0.187645004504924</v>
      </c>
      <c r="X60" s="18">
        <v>-0.18679051021012399</v>
      </c>
      <c r="Y60" s="18">
        <v>-4.1990192479555901E-3</v>
      </c>
      <c r="Z60" s="18">
        <v>-0.39331001949238398</v>
      </c>
      <c r="AA60" s="18">
        <v>-0.59811827213772295</v>
      </c>
      <c r="AB60" s="18">
        <v>2.15706684281145E-3</v>
      </c>
      <c r="AC60" s="18">
        <v>0.57849211078110396</v>
      </c>
      <c r="AD60" s="18">
        <v>0.16528880187217301</v>
      </c>
      <c r="AE60" s="21">
        <v>-0.307207576970221</v>
      </c>
      <c r="AF60" s="3">
        <v>2.6253000000000002</v>
      </c>
      <c r="AG60" s="3">
        <v>0.267594</v>
      </c>
      <c r="AH60" s="3">
        <v>2.8425699999999998</v>
      </c>
      <c r="AI60" s="3">
        <v>7.1360400000000004</v>
      </c>
      <c r="AJ60" s="3">
        <v>4.2201299999999997E-2</v>
      </c>
      <c r="AK60" s="3">
        <v>0.29766300000000001</v>
      </c>
      <c r="AL60" s="3">
        <v>0</v>
      </c>
      <c r="AM60" s="3">
        <v>0</v>
      </c>
      <c r="AN60" s="3">
        <v>-0.53097899999999998</v>
      </c>
      <c r="AO60" s="3">
        <v>53.723199999999999</v>
      </c>
      <c r="AP60" s="3">
        <v>0.133967</v>
      </c>
      <c r="AQ60" s="3">
        <v>-0.26310800000000001</v>
      </c>
      <c r="AR60" s="3">
        <v>18.138400000000001</v>
      </c>
      <c r="AS60" s="3">
        <v>8.5938700000000007E-2</v>
      </c>
      <c r="AT60" s="3">
        <v>0.70992900000000003</v>
      </c>
      <c r="AU60" s="3">
        <v>58.448700000000002</v>
      </c>
      <c r="AV60" s="3">
        <v>0.58186899999999997</v>
      </c>
      <c r="AW60" s="3">
        <v>0.60125700000000004</v>
      </c>
      <c r="AX60" s="3">
        <v>0.70405700000000004</v>
      </c>
      <c r="AY60" s="3">
        <v>6.7810099999999998E-2</v>
      </c>
      <c r="AZ60" s="21">
        <v>3.9621599999999999</v>
      </c>
      <c r="BA60" s="3">
        <v>100.57299999999999</v>
      </c>
      <c r="BB60" s="3">
        <v>4</v>
      </c>
    </row>
    <row r="61" spans="1:54" s="3" customFormat="1" ht="63" customHeight="1" x14ac:dyDescent="0.25">
      <c r="A61" s="2">
        <v>59</v>
      </c>
      <c r="B61" s="3">
        <v>1</v>
      </c>
      <c r="C61" s="2">
        <v>1</v>
      </c>
      <c r="D61" s="9">
        <v>70</v>
      </c>
      <c r="E61" s="3" t="s">
        <v>53</v>
      </c>
      <c r="F61" s="3">
        <f>IF(E62="Happy", 1,2)</f>
        <v>2</v>
      </c>
      <c r="G61" s="11"/>
      <c r="H61" s="3" t="s">
        <v>76</v>
      </c>
      <c r="I61" s="3">
        <f t="shared" si="1"/>
        <v>2</v>
      </c>
      <c r="J61" s="3" t="s">
        <v>81</v>
      </c>
      <c r="K61" s="3">
        <v>5</v>
      </c>
      <c r="L61" s="6" t="s">
        <v>160</v>
      </c>
      <c r="M61" s="3">
        <v>-100</v>
      </c>
      <c r="N61" s="3">
        <f t="shared" si="2"/>
        <v>-1</v>
      </c>
      <c r="O61" s="3">
        <v>6</v>
      </c>
      <c r="P61" s="3">
        <v>0.06</v>
      </c>
      <c r="Q61" s="17">
        <v>-4.1250000000000023E-2</v>
      </c>
      <c r="R61" s="21">
        <v>0.26357715505458112</v>
      </c>
      <c r="S61" s="3">
        <v>7</v>
      </c>
      <c r="T61" s="3">
        <v>327.55</v>
      </c>
      <c r="U61" s="3">
        <v>355.22</v>
      </c>
      <c r="V61" s="26">
        <v>1.29038785350444</v>
      </c>
      <c r="W61" s="18">
        <v>1.3132412471033099</v>
      </c>
      <c r="X61" s="18">
        <v>7.1141472514174603E-2</v>
      </c>
      <c r="Y61" s="18">
        <v>0.92631125626169597</v>
      </c>
      <c r="Z61" s="18">
        <v>1.3765976134639399</v>
      </c>
      <c r="AA61" s="18">
        <v>1.44102373226634</v>
      </c>
      <c r="AB61" s="18">
        <v>0.53888543738693895</v>
      </c>
      <c r="AC61" s="18">
        <v>-0.28573443866523002</v>
      </c>
      <c r="AD61" s="18">
        <v>-0.77216249386222502</v>
      </c>
      <c r="AE61" s="21">
        <v>-0.44411008767256399</v>
      </c>
      <c r="AF61" s="3">
        <v>1.21563</v>
      </c>
      <c r="AG61" s="3">
        <v>8.3836599999999997E-2</v>
      </c>
      <c r="AH61" s="3">
        <v>2.43906</v>
      </c>
      <c r="AI61" s="3">
        <v>2.1273499999999999</v>
      </c>
      <c r="AJ61" s="3">
        <v>5.9024800000000002E-2</v>
      </c>
      <c r="AK61" s="3">
        <v>0.43352400000000002</v>
      </c>
      <c r="AL61" s="3">
        <v>0</v>
      </c>
      <c r="AM61" s="3">
        <v>0</v>
      </c>
      <c r="AN61" s="3">
        <v>-0.53097899999999998</v>
      </c>
      <c r="AO61" s="3">
        <v>50.361800000000002</v>
      </c>
      <c r="AP61" s="3">
        <v>0.26211499999999999</v>
      </c>
      <c r="AQ61" s="3">
        <v>4.70772E-2</v>
      </c>
      <c r="AR61" s="3">
        <v>9.2474699999999999</v>
      </c>
      <c r="AS61" s="3">
        <v>8.5478999999999999E-2</v>
      </c>
      <c r="AT61" s="3">
        <v>0.80103800000000003</v>
      </c>
      <c r="AU61" s="3">
        <v>58.6541</v>
      </c>
      <c r="AV61" s="3">
        <v>0.54145799999999999</v>
      </c>
      <c r="AW61" s="3">
        <v>0.37463600000000002</v>
      </c>
      <c r="AX61" s="3">
        <v>0</v>
      </c>
      <c r="AY61" s="3">
        <v>0.21000199999999999</v>
      </c>
      <c r="AZ61" s="21">
        <v>-0.101942</v>
      </c>
      <c r="BA61" s="3">
        <v>27.667000000000002</v>
      </c>
      <c r="BB61" s="3">
        <v>5</v>
      </c>
    </row>
    <row r="62" spans="1:54" s="3" customFormat="1" ht="157.5" customHeight="1" x14ac:dyDescent="0.25">
      <c r="A62" s="2">
        <v>60</v>
      </c>
      <c r="B62" s="3">
        <v>1</v>
      </c>
      <c r="C62" s="2">
        <v>1</v>
      </c>
      <c r="D62" s="9">
        <v>70</v>
      </c>
      <c r="E62" s="3" t="s">
        <v>53</v>
      </c>
      <c r="F62" s="3">
        <f>IF(E63="Happy", 1,2)</f>
        <v>2</v>
      </c>
      <c r="G62" s="11"/>
      <c r="H62" s="3" t="s">
        <v>76</v>
      </c>
      <c r="I62" s="3">
        <f t="shared" si="1"/>
        <v>2</v>
      </c>
      <c r="J62" s="3" t="s">
        <v>82</v>
      </c>
      <c r="K62" s="3">
        <v>6</v>
      </c>
      <c r="L62" s="6" t="s">
        <v>180</v>
      </c>
      <c r="M62" s="3">
        <v>-100</v>
      </c>
      <c r="N62" s="3">
        <f t="shared" si="2"/>
        <v>-1</v>
      </c>
      <c r="O62" s="3">
        <v>6</v>
      </c>
      <c r="P62" s="3">
        <v>0.06</v>
      </c>
      <c r="Q62" s="17">
        <v>-0.1177777777777778</v>
      </c>
      <c r="R62" s="21">
        <v>0.30536516434898658</v>
      </c>
      <c r="S62" s="3">
        <v>9</v>
      </c>
      <c r="T62" s="3">
        <v>367.07</v>
      </c>
      <c r="U62" s="3">
        <v>436.37</v>
      </c>
      <c r="V62" s="26">
        <v>-0.59599963641921405</v>
      </c>
      <c r="W62" s="18">
        <v>-0.53343643526808404</v>
      </c>
      <c r="X62" s="18">
        <v>-8.5902163443682705E-2</v>
      </c>
      <c r="Y62" s="18">
        <v>-0.59972559557413396</v>
      </c>
      <c r="Z62" s="18">
        <v>0.99006871468527902</v>
      </c>
      <c r="AA62" s="18">
        <v>1.25516731214306</v>
      </c>
      <c r="AB62" s="18">
        <v>1.38890556943042</v>
      </c>
      <c r="AC62" s="18">
        <v>-0.48862443432256902</v>
      </c>
      <c r="AD62" s="18">
        <v>1.3208946514737301</v>
      </c>
      <c r="AE62" s="21">
        <v>-0.66977356685225198</v>
      </c>
      <c r="AF62" s="3">
        <v>2.2863699999999998</v>
      </c>
      <c r="AG62" s="3">
        <v>0.15282599999999999</v>
      </c>
      <c r="AH62" s="3">
        <v>2.5807099999999998</v>
      </c>
      <c r="AI62" s="3">
        <v>23.088899999999999</v>
      </c>
      <c r="AJ62" s="3">
        <v>0.18256900000000001</v>
      </c>
      <c r="AK62" s="3">
        <v>0.75019800000000003</v>
      </c>
      <c r="AL62" s="3">
        <v>0.39838299999999999</v>
      </c>
      <c r="AM62" s="3">
        <v>0.61598299999999995</v>
      </c>
      <c r="AN62" s="3">
        <v>3.6189100000000001</v>
      </c>
      <c r="AO62" s="3">
        <v>49.001199999999997</v>
      </c>
      <c r="AP62" s="3">
        <v>0.20527200000000001</v>
      </c>
      <c r="AQ62" s="3">
        <v>-8.6048700000000006E-2</v>
      </c>
      <c r="AR62" s="3">
        <v>13.839499999999999</v>
      </c>
      <c r="AS62" s="3">
        <v>9.9196800000000002E-2</v>
      </c>
      <c r="AT62" s="3">
        <v>0.69102200000000003</v>
      </c>
      <c r="AU62" s="3">
        <v>58.285200000000003</v>
      </c>
      <c r="AV62" s="3">
        <v>0.473414</v>
      </c>
      <c r="AW62" s="3">
        <v>0.55103599999999997</v>
      </c>
      <c r="AX62" s="3">
        <v>0.155889</v>
      </c>
      <c r="AY62" s="3">
        <v>8.6313399999999998E-2</v>
      </c>
      <c r="AZ62" s="21">
        <v>4.2864399999999998</v>
      </c>
      <c r="BA62" s="3">
        <v>69.304000000000002</v>
      </c>
      <c r="BB62" s="3">
        <v>6</v>
      </c>
    </row>
    <row r="63" spans="1:54" s="3" customFormat="1" ht="110.25" customHeight="1" x14ac:dyDescent="0.25">
      <c r="A63" s="2">
        <v>61</v>
      </c>
      <c r="B63" s="3">
        <v>1</v>
      </c>
      <c r="C63" s="2">
        <v>1</v>
      </c>
      <c r="D63" s="9">
        <v>70</v>
      </c>
      <c r="E63" s="3" t="s">
        <v>53</v>
      </c>
      <c r="F63" s="3">
        <f t="shared" ref="F63:F70" si="8">IF(E63="Happy", 1,2)</f>
        <v>2</v>
      </c>
      <c r="G63" s="11"/>
      <c r="H63" s="3" t="s">
        <v>76</v>
      </c>
      <c r="I63" s="3">
        <f t="shared" si="1"/>
        <v>2</v>
      </c>
      <c r="J63" s="3" t="s">
        <v>83</v>
      </c>
      <c r="K63" s="3">
        <v>7</v>
      </c>
      <c r="L63" s="6" t="s">
        <v>181</v>
      </c>
      <c r="M63" s="3">
        <v>-100</v>
      </c>
      <c r="N63" s="3">
        <f t="shared" si="2"/>
        <v>-1</v>
      </c>
      <c r="O63" s="3">
        <v>6</v>
      </c>
      <c r="P63" s="3">
        <v>0.06</v>
      </c>
      <c r="Q63" s="17">
        <v>0.1131944444444445</v>
      </c>
      <c r="R63" s="21">
        <v>0.20455131943830279</v>
      </c>
      <c r="S63" s="3">
        <v>10</v>
      </c>
      <c r="T63" s="3">
        <v>436.37</v>
      </c>
      <c r="U63" s="3">
        <v>484.08</v>
      </c>
      <c r="V63" s="26">
        <v>-0.15272178232653699</v>
      </c>
      <c r="W63" s="18">
        <v>0.38304813813830502</v>
      </c>
      <c r="X63" s="18">
        <v>-4.6802574063896797E-2</v>
      </c>
      <c r="Y63" s="18">
        <v>-3.7481171010994498E-2</v>
      </c>
      <c r="Z63" s="18">
        <v>0.260522829591253</v>
      </c>
      <c r="AA63" s="18">
        <v>7.1529529561400906E-2</v>
      </c>
      <c r="AB63" s="18">
        <v>0.34343846807733902</v>
      </c>
      <c r="AC63" s="18">
        <v>0.69160151602561404</v>
      </c>
      <c r="AD63" s="18">
        <v>-0.45193964471183001</v>
      </c>
      <c r="AE63" s="21">
        <v>0.56686229905243302</v>
      </c>
      <c r="AF63" s="3">
        <v>0</v>
      </c>
      <c r="AG63" s="3">
        <v>0.22260199999999999</v>
      </c>
      <c r="AH63" s="3">
        <v>-0.52016700000000005</v>
      </c>
      <c r="AI63" s="3">
        <v>21.870799999999999</v>
      </c>
      <c r="AJ63" s="3">
        <v>3.8234900000000002E-2</v>
      </c>
      <c r="AK63" s="3">
        <v>0.20613600000000001</v>
      </c>
      <c r="AL63" s="3">
        <v>0</v>
      </c>
      <c r="AM63" s="3">
        <v>0</v>
      </c>
      <c r="AN63" s="3">
        <v>-0.53097899999999998</v>
      </c>
      <c r="AO63" s="3">
        <v>54.714799999999997</v>
      </c>
      <c r="AP63" s="3">
        <v>0.201353</v>
      </c>
      <c r="AQ63" s="3">
        <v>-1.74669E-2</v>
      </c>
      <c r="AR63" s="3">
        <v>8.7583900000000003</v>
      </c>
      <c r="AS63" s="3">
        <v>0.83874000000000004</v>
      </c>
      <c r="AT63" s="3">
        <v>2.7041499999999998</v>
      </c>
      <c r="AU63" s="3">
        <v>58.942999999999998</v>
      </c>
      <c r="AV63" s="3">
        <v>0.45316000000000001</v>
      </c>
      <c r="AW63" s="3">
        <v>0.59803200000000001</v>
      </c>
      <c r="AX63" s="3">
        <v>0</v>
      </c>
      <c r="AY63" s="3">
        <v>0.126584</v>
      </c>
      <c r="AZ63" s="21">
        <v>-0.35239700000000002</v>
      </c>
      <c r="BA63" s="3">
        <v>47.704000000000001</v>
      </c>
      <c r="BB63" s="3">
        <v>7</v>
      </c>
    </row>
    <row r="64" spans="1:54" s="3" customFormat="1" ht="94.5" customHeight="1" x14ac:dyDescent="0.25">
      <c r="A64" s="2">
        <v>62</v>
      </c>
      <c r="B64" s="3">
        <v>1</v>
      </c>
      <c r="C64" s="2">
        <v>1</v>
      </c>
      <c r="D64" s="9">
        <v>70</v>
      </c>
      <c r="E64" s="3" t="s">
        <v>53</v>
      </c>
      <c r="F64" s="3">
        <f t="shared" si="8"/>
        <v>2</v>
      </c>
      <c r="G64" s="11" t="s">
        <v>84</v>
      </c>
      <c r="H64" s="3" t="s">
        <v>84</v>
      </c>
      <c r="I64" s="3">
        <f t="shared" si="1"/>
        <v>3</v>
      </c>
      <c r="J64" s="3" t="s">
        <v>85</v>
      </c>
      <c r="K64" s="3">
        <v>1</v>
      </c>
      <c r="L64" s="6" t="s">
        <v>154</v>
      </c>
      <c r="M64" s="3">
        <v>3</v>
      </c>
      <c r="N64" s="3">
        <f t="shared" si="2"/>
        <v>0.03</v>
      </c>
      <c r="O64" s="3">
        <v>50</v>
      </c>
      <c r="P64" s="3">
        <v>0.5</v>
      </c>
      <c r="Q64" s="17">
        <v>0.15455555555555561</v>
      </c>
      <c r="R64" s="21">
        <v>0.2020012834576021</v>
      </c>
      <c r="S64" s="3">
        <v>2</v>
      </c>
      <c r="T64" s="3">
        <v>27.06</v>
      </c>
      <c r="U64" s="3">
        <v>65.900000000000006</v>
      </c>
      <c r="V64" s="26">
        <v>-1.02367079149919</v>
      </c>
      <c r="W64" s="18">
        <v>-1.2278567606886099</v>
      </c>
      <c r="X64" s="18">
        <v>-0.46482519217864898</v>
      </c>
      <c r="Y64" s="18">
        <v>-1.26521418929547</v>
      </c>
      <c r="Z64" s="18">
        <v>1.31254161501002</v>
      </c>
      <c r="AA64" s="18">
        <v>0.90119308002584297</v>
      </c>
      <c r="AB64" s="18">
        <v>-0.61457602500444897</v>
      </c>
      <c r="AC64" s="18">
        <v>-1.2757952014460801</v>
      </c>
      <c r="AD64" s="18">
        <v>1.0282696675716001</v>
      </c>
      <c r="AE64" s="21">
        <v>-0.92101224033897</v>
      </c>
      <c r="AF64" s="3">
        <v>9.0309299999999997</v>
      </c>
      <c r="AG64" s="3">
        <v>0.15462899999999999</v>
      </c>
      <c r="AH64" s="3">
        <v>2.9269699999999998</v>
      </c>
      <c r="AI64" s="3">
        <v>29.721599999999999</v>
      </c>
      <c r="AJ64" s="3">
        <v>6.60303E-2</v>
      </c>
      <c r="AK64" s="3">
        <v>0.49289300000000003</v>
      </c>
      <c r="AL64" s="3">
        <v>0</v>
      </c>
      <c r="AM64" s="3">
        <v>0</v>
      </c>
      <c r="AN64" s="3">
        <v>-0.53109399999999996</v>
      </c>
      <c r="AO64" s="3">
        <v>54.061900000000001</v>
      </c>
      <c r="AP64" s="3">
        <v>0.350553</v>
      </c>
      <c r="AQ64" s="3">
        <v>-0.103265</v>
      </c>
      <c r="AR64" s="3">
        <v>7.5773200000000003</v>
      </c>
      <c r="AS64" s="3">
        <v>0.23899699999999999</v>
      </c>
      <c r="AT64" s="3">
        <v>1.36531</v>
      </c>
      <c r="AU64" s="3">
        <v>57.773200000000003</v>
      </c>
      <c r="AV64" s="3">
        <v>0.409279</v>
      </c>
      <c r="AW64" s="3">
        <v>-1.2012499999999999</v>
      </c>
      <c r="AX64" s="3">
        <v>0</v>
      </c>
      <c r="AY64" s="3">
        <v>2.7397299999999999E-2</v>
      </c>
      <c r="AZ64" s="21">
        <v>-0.64571500000000004</v>
      </c>
      <c r="BA64" s="3">
        <v>38.835000000000001</v>
      </c>
      <c r="BB64" s="3">
        <v>1</v>
      </c>
    </row>
    <row r="65" spans="1:54" s="3" customFormat="1" ht="141.75" customHeight="1" x14ac:dyDescent="0.25">
      <c r="A65" s="2">
        <v>63</v>
      </c>
      <c r="B65" s="3">
        <v>1</v>
      </c>
      <c r="C65" s="2">
        <v>1</v>
      </c>
      <c r="D65" s="9">
        <v>70</v>
      </c>
      <c r="E65" s="3" t="s">
        <v>53</v>
      </c>
      <c r="F65" s="3">
        <f t="shared" si="8"/>
        <v>2</v>
      </c>
      <c r="G65" s="11"/>
      <c r="H65" s="3" t="s">
        <v>84</v>
      </c>
      <c r="I65" s="3">
        <f t="shared" si="1"/>
        <v>3</v>
      </c>
      <c r="J65" s="3" t="s">
        <v>86</v>
      </c>
      <c r="K65" s="3">
        <v>2</v>
      </c>
      <c r="L65" s="6" t="s">
        <v>182</v>
      </c>
      <c r="M65" s="3">
        <v>3</v>
      </c>
      <c r="N65" s="3">
        <f t="shared" si="2"/>
        <v>0.03</v>
      </c>
      <c r="O65" s="3">
        <v>50</v>
      </c>
      <c r="P65" s="3">
        <v>0.5</v>
      </c>
      <c r="Q65" s="17">
        <v>0.1931818181818182</v>
      </c>
      <c r="R65" s="21">
        <v>0.24004681782409601</v>
      </c>
      <c r="S65" s="3">
        <v>3</v>
      </c>
      <c r="T65" s="3">
        <v>65.900000000000006</v>
      </c>
      <c r="U65" s="3">
        <v>123.79</v>
      </c>
      <c r="V65" s="26">
        <v>-7.2342182182710393E-2</v>
      </c>
      <c r="W65" s="18">
        <v>5.0879177035844901E-2</v>
      </c>
      <c r="X65" s="18">
        <v>-0.22949134232878601</v>
      </c>
      <c r="Y65" s="18">
        <v>-0.55339313372302901</v>
      </c>
      <c r="Z65" s="18">
        <v>1.9541403454700299</v>
      </c>
      <c r="AA65" s="18">
        <v>1.2770797104204701</v>
      </c>
      <c r="AB65" s="18">
        <v>1.2433714555283999</v>
      </c>
      <c r="AC65" s="18">
        <v>-0.80391690144164096</v>
      </c>
      <c r="AD65" s="18">
        <v>0.40403223933724203</v>
      </c>
      <c r="AE65" s="21">
        <v>-2.9760543240686501</v>
      </c>
      <c r="AF65" s="3">
        <v>0</v>
      </c>
      <c r="AG65" s="3">
        <v>0.34576600000000002</v>
      </c>
      <c r="AH65" s="3">
        <v>-0.168271</v>
      </c>
      <c r="AI65" s="3">
        <v>5.8880400000000002</v>
      </c>
      <c r="AJ65" s="3">
        <v>2.1998400000000001E-2</v>
      </c>
      <c r="AK65" s="3">
        <v>0.32861000000000001</v>
      </c>
      <c r="AL65" s="3">
        <v>0</v>
      </c>
      <c r="AM65" s="3">
        <v>0</v>
      </c>
      <c r="AN65" s="3">
        <v>-0.53109399999999996</v>
      </c>
      <c r="AO65" s="3">
        <v>46.585999999999999</v>
      </c>
      <c r="AP65" s="3">
        <v>0.35511100000000001</v>
      </c>
      <c r="AQ65" s="3">
        <v>0.32775500000000002</v>
      </c>
      <c r="AR65" s="3">
        <v>24.174199999999999</v>
      </c>
      <c r="AS65" s="3">
        <v>6.8607699999999994E-2</v>
      </c>
      <c r="AT65" s="3">
        <v>0.49204599999999998</v>
      </c>
      <c r="AU65" s="3">
        <v>57.242600000000003</v>
      </c>
      <c r="AV65" s="3">
        <v>0.63653599999999999</v>
      </c>
      <c r="AW65" s="3">
        <v>0.34859899999999999</v>
      </c>
      <c r="AX65" s="3">
        <v>0</v>
      </c>
      <c r="AY65" s="3">
        <v>0.11110100000000001</v>
      </c>
      <c r="AZ65" s="21">
        <v>-0.50594799999999995</v>
      </c>
      <c r="BA65" s="3">
        <v>57.893000000000001</v>
      </c>
      <c r="BB65" s="3">
        <v>2</v>
      </c>
    </row>
    <row r="66" spans="1:54" s="3" customFormat="1" ht="126" customHeight="1" x14ac:dyDescent="0.25">
      <c r="A66" s="2">
        <v>64</v>
      </c>
      <c r="B66" s="3">
        <v>1</v>
      </c>
      <c r="C66" s="2">
        <v>1</v>
      </c>
      <c r="D66" s="9">
        <v>70</v>
      </c>
      <c r="E66" s="3" t="s">
        <v>53</v>
      </c>
      <c r="F66" s="3">
        <f t="shared" si="8"/>
        <v>2</v>
      </c>
      <c r="G66" s="11"/>
      <c r="H66" s="3" t="s">
        <v>84</v>
      </c>
      <c r="I66" s="3">
        <f t="shared" si="1"/>
        <v>3</v>
      </c>
      <c r="J66" s="3" t="s">
        <v>87</v>
      </c>
      <c r="K66" s="3">
        <v>3</v>
      </c>
      <c r="L66" s="6" t="s">
        <v>183</v>
      </c>
      <c r="M66" s="3">
        <v>3</v>
      </c>
      <c r="N66" s="3">
        <f t="shared" si="2"/>
        <v>0.03</v>
      </c>
      <c r="O66" s="3">
        <v>50</v>
      </c>
      <c r="P66" s="3">
        <v>0.5</v>
      </c>
      <c r="Q66" s="17">
        <v>1.7884615384615391E-2</v>
      </c>
      <c r="R66" s="21">
        <v>0.28804228554520989</v>
      </c>
      <c r="S66" s="3">
        <v>4</v>
      </c>
      <c r="T66" s="3">
        <v>123.79</v>
      </c>
      <c r="U66" s="3">
        <v>177.16</v>
      </c>
      <c r="V66" s="26">
        <v>-0.136588059708837</v>
      </c>
      <c r="W66" s="18">
        <v>-0.61921804464480901</v>
      </c>
      <c r="X66" s="18">
        <v>-0.21908656219252301</v>
      </c>
      <c r="Y66" s="18">
        <v>-1.47193418992115</v>
      </c>
      <c r="Z66" s="18">
        <v>-0.40485164083543002</v>
      </c>
      <c r="AA66" s="18">
        <v>-0.43190321741717003</v>
      </c>
      <c r="AB66" s="18">
        <v>1.35623096853785</v>
      </c>
      <c r="AC66" s="18">
        <v>4.4757104783573302E-2</v>
      </c>
      <c r="AD66" s="18">
        <v>0.27042352662743302</v>
      </c>
      <c r="AE66" s="21">
        <v>-3.3140916749090899E-3</v>
      </c>
      <c r="AF66" s="3">
        <v>0</v>
      </c>
      <c r="AG66" s="3">
        <v>0.115426</v>
      </c>
      <c r="AH66" s="3">
        <v>-0.55745</v>
      </c>
      <c r="AI66" s="3">
        <v>15.4498</v>
      </c>
      <c r="AJ66" s="3">
        <v>0.10477</v>
      </c>
      <c r="AK66" s="3">
        <v>0.69708700000000001</v>
      </c>
      <c r="AL66" s="3">
        <v>0</v>
      </c>
      <c r="AM66" s="3">
        <v>0</v>
      </c>
      <c r="AN66" s="3">
        <v>-0.53109399999999996</v>
      </c>
      <c r="AO66" s="3">
        <v>55.03</v>
      </c>
      <c r="AP66" s="3">
        <v>0.15065600000000001</v>
      </c>
      <c r="AQ66" s="3">
        <v>-0.51721200000000001</v>
      </c>
      <c r="AR66" s="3">
        <v>28.8081</v>
      </c>
      <c r="AS66" s="3">
        <v>0.12820999999999999</v>
      </c>
      <c r="AT66" s="3">
        <v>0.66093000000000002</v>
      </c>
      <c r="AU66" s="3">
        <v>59.865099999999998</v>
      </c>
      <c r="AV66" s="3">
        <v>0.38467200000000001</v>
      </c>
      <c r="AW66" s="3">
        <v>0.54897600000000002</v>
      </c>
      <c r="AX66" s="3">
        <v>0</v>
      </c>
      <c r="AY66" s="3">
        <v>0.105826</v>
      </c>
      <c r="AZ66" s="21">
        <v>-0.47465499999999999</v>
      </c>
      <c r="BA66" s="3">
        <v>53.375</v>
      </c>
      <c r="BB66" s="3">
        <v>3</v>
      </c>
    </row>
    <row r="67" spans="1:54" s="3" customFormat="1" ht="189" customHeight="1" x14ac:dyDescent="0.25">
      <c r="A67" s="2">
        <v>65</v>
      </c>
      <c r="B67" s="3">
        <v>1</v>
      </c>
      <c r="C67" s="2">
        <v>1</v>
      </c>
      <c r="D67" s="9">
        <v>70</v>
      </c>
      <c r="E67" s="3" t="s">
        <v>53</v>
      </c>
      <c r="F67" s="3">
        <f t="shared" si="8"/>
        <v>2</v>
      </c>
      <c r="G67" s="11"/>
      <c r="H67" s="3" t="s">
        <v>84</v>
      </c>
      <c r="I67" s="3">
        <f t="shared" ref="I67:I130" si="9">IF(OR(H67="HM1",H67="SM1"),1, IF(OR(H67="HM2",H67="SM2"),2,IF(OR(H67="HM3",H67="SM3"),3 )))</f>
        <v>3</v>
      </c>
      <c r="J67" s="3" t="s">
        <v>88</v>
      </c>
      <c r="K67" s="3">
        <v>4</v>
      </c>
      <c r="L67" s="6" t="s">
        <v>184</v>
      </c>
      <c r="M67" s="3">
        <v>3</v>
      </c>
      <c r="N67" s="3">
        <f t="shared" ref="N67:N130" si="10">M67/100</f>
        <v>0.03</v>
      </c>
      <c r="O67" s="3">
        <v>50</v>
      </c>
      <c r="P67" s="3">
        <v>0.5</v>
      </c>
      <c r="Q67" s="17">
        <v>-2.689444444444444E-2</v>
      </c>
      <c r="R67" s="21">
        <v>0.31834048954531469</v>
      </c>
      <c r="S67" s="3">
        <v>5</v>
      </c>
      <c r="T67" s="3">
        <v>177.16</v>
      </c>
      <c r="U67" s="3">
        <v>256.58999999999997</v>
      </c>
      <c r="V67" s="26">
        <v>-0.68073143149468895</v>
      </c>
      <c r="W67" s="18">
        <v>-0.220766482674806</v>
      </c>
      <c r="X67" s="18">
        <v>-0.28170534578665202</v>
      </c>
      <c r="Y67" s="18">
        <v>-1.25293608690494</v>
      </c>
      <c r="Z67" s="18">
        <v>0.172691091170662</v>
      </c>
      <c r="AA67" s="18">
        <v>0.35034484937975802</v>
      </c>
      <c r="AB67" s="18">
        <v>5.0027759694609202E-2</v>
      </c>
      <c r="AC67" s="18">
        <v>-0.100517787577345</v>
      </c>
      <c r="AD67" s="18">
        <v>-0.22546192513487501</v>
      </c>
      <c r="AE67" s="21">
        <v>-0.81720703991631305</v>
      </c>
      <c r="AF67" s="3">
        <v>0</v>
      </c>
      <c r="AG67" s="3">
        <v>0.26944400000000002</v>
      </c>
      <c r="AH67" s="3">
        <v>-0.41282999999999997</v>
      </c>
      <c r="AI67" s="3">
        <v>8.5995000000000008</v>
      </c>
      <c r="AJ67" s="3">
        <v>0.191299</v>
      </c>
      <c r="AK67" s="3">
        <v>1.11758</v>
      </c>
      <c r="AL67" s="3">
        <v>0</v>
      </c>
      <c r="AM67" s="3">
        <v>1.08948E-2</v>
      </c>
      <c r="AN67" s="3">
        <v>-0.51738799999999996</v>
      </c>
      <c r="AO67" s="3">
        <v>54.664999999999999</v>
      </c>
      <c r="AP67" s="3">
        <v>0.28276800000000002</v>
      </c>
      <c r="AQ67" s="3">
        <v>-7.9190999999999998E-2</v>
      </c>
      <c r="AR67" s="3">
        <v>27.551600000000001</v>
      </c>
      <c r="AS67" s="3">
        <v>7.2655300000000006E-2</v>
      </c>
      <c r="AT67" s="3">
        <v>0.45274900000000001</v>
      </c>
      <c r="AU67" s="3">
        <v>59.516399999999997</v>
      </c>
      <c r="AV67" s="3">
        <v>0.49381999999999998</v>
      </c>
      <c r="AW67" s="3">
        <v>0.32586399999999999</v>
      </c>
      <c r="AX67" s="3">
        <v>0</v>
      </c>
      <c r="AY67" s="3">
        <v>0.232487</v>
      </c>
      <c r="AZ67" s="21">
        <v>-2.0568800000000002E-2</v>
      </c>
      <c r="BA67" s="3">
        <v>79.429000000000002</v>
      </c>
      <c r="BB67" s="3">
        <v>4</v>
      </c>
    </row>
    <row r="68" spans="1:54" s="3" customFormat="1" ht="189" customHeight="1" x14ac:dyDescent="0.25">
      <c r="A68" s="2">
        <v>66</v>
      </c>
      <c r="B68" s="3">
        <v>1</v>
      </c>
      <c r="C68" s="2">
        <v>1</v>
      </c>
      <c r="D68" s="9">
        <v>70</v>
      </c>
      <c r="E68" s="3" t="s">
        <v>53</v>
      </c>
      <c r="F68" s="3">
        <f t="shared" si="8"/>
        <v>2</v>
      </c>
      <c r="G68" s="11"/>
      <c r="H68" s="3" t="s">
        <v>84</v>
      </c>
      <c r="I68" s="3">
        <f t="shared" si="9"/>
        <v>3</v>
      </c>
      <c r="J68" s="3" t="s">
        <v>89</v>
      </c>
      <c r="K68" s="3">
        <v>5</v>
      </c>
      <c r="L68" s="6" t="s">
        <v>185</v>
      </c>
      <c r="M68" s="3">
        <v>3</v>
      </c>
      <c r="N68" s="3">
        <f t="shared" si="10"/>
        <v>0.03</v>
      </c>
      <c r="O68" s="3">
        <v>50</v>
      </c>
      <c r="P68" s="3">
        <v>0.5</v>
      </c>
      <c r="Q68" s="17">
        <v>0.1108333333333333</v>
      </c>
      <c r="R68" s="21">
        <v>0.2346625672488824</v>
      </c>
      <c r="S68" s="3">
        <v>6</v>
      </c>
      <c r="T68" s="3">
        <v>256.58999999999997</v>
      </c>
      <c r="U68" s="3">
        <v>342.08</v>
      </c>
      <c r="V68" s="26">
        <v>7.9576622150042201E-2</v>
      </c>
      <c r="W68" s="18">
        <v>-6.6496749085973694E-2</v>
      </c>
      <c r="X68" s="18">
        <v>-0.16407724466819901</v>
      </c>
      <c r="Y68" s="18">
        <v>-0.882353612865862</v>
      </c>
      <c r="Z68" s="18">
        <v>0.74630967192011799</v>
      </c>
      <c r="AA68" s="18">
        <v>0.52278989968898704</v>
      </c>
      <c r="AB68" s="18">
        <v>-0.28861084293831402</v>
      </c>
      <c r="AC68" s="18">
        <v>-0.93045804855893699</v>
      </c>
      <c r="AD68" s="18">
        <v>2.6293839133235699</v>
      </c>
      <c r="AE68" s="21">
        <v>-1.45056920481397</v>
      </c>
      <c r="AF68" s="3">
        <v>2.9340199999999999</v>
      </c>
      <c r="AG68" s="3">
        <v>5.7154799999999999E-2</v>
      </c>
      <c r="AH68" s="3">
        <v>2.6250200000000001</v>
      </c>
      <c r="AI68" s="3">
        <v>4.8432399999999998</v>
      </c>
      <c r="AJ68" s="3">
        <v>0.201075</v>
      </c>
      <c r="AK68" s="3">
        <v>1.5073399999999999</v>
      </c>
      <c r="AL68" s="3">
        <v>0</v>
      </c>
      <c r="AM68" s="3">
        <v>0</v>
      </c>
      <c r="AN68" s="3">
        <v>-0.53109399999999996</v>
      </c>
      <c r="AO68" s="3">
        <v>57.051900000000003</v>
      </c>
      <c r="AP68" s="3">
        <v>0.12776499999999999</v>
      </c>
      <c r="AQ68" s="3">
        <v>-0.462391</v>
      </c>
      <c r="AR68" s="3">
        <v>17.913</v>
      </c>
      <c r="AS68" s="3">
        <v>8.0353400000000005E-2</v>
      </c>
      <c r="AT68" s="3">
        <v>0.48222199999999998</v>
      </c>
      <c r="AU68" s="3">
        <v>59.578800000000001</v>
      </c>
      <c r="AV68" s="3">
        <v>0.535134</v>
      </c>
      <c r="AW68" s="3">
        <v>0.15240000000000001</v>
      </c>
      <c r="AX68" s="3">
        <v>0</v>
      </c>
      <c r="AY68" s="3">
        <v>0.19123000000000001</v>
      </c>
      <c r="AZ68" s="21">
        <v>-0.255689</v>
      </c>
      <c r="BA68" s="3">
        <v>85.488</v>
      </c>
      <c r="BB68" s="3">
        <v>5</v>
      </c>
    </row>
    <row r="69" spans="1:54" s="3" customFormat="1" ht="63" customHeight="1" x14ac:dyDescent="0.25">
      <c r="A69" s="2">
        <v>67</v>
      </c>
      <c r="B69" s="3">
        <v>1</v>
      </c>
      <c r="C69" s="2">
        <v>1</v>
      </c>
      <c r="D69" s="9">
        <v>70</v>
      </c>
      <c r="E69" s="3" t="s">
        <v>53</v>
      </c>
      <c r="F69" s="3">
        <f t="shared" si="8"/>
        <v>2</v>
      </c>
      <c r="G69" s="11"/>
      <c r="H69" s="3" t="s">
        <v>84</v>
      </c>
      <c r="I69" s="3">
        <f t="shared" si="9"/>
        <v>3</v>
      </c>
      <c r="J69" s="3" t="s">
        <v>90</v>
      </c>
      <c r="K69" s="3">
        <v>6</v>
      </c>
      <c r="L69" s="6" t="s">
        <v>144</v>
      </c>
      <c r="M69" s="3">
        <v>3</v>
      </c>
      <c r="N69" s="3">
        <f t="shared" si="10"/>
        <v>0.03</v>
      </c>
      <c r="O69" s="3">
        <v>50</v>
      </c>
      <c r="P69" s="3">
        <v>0.5</v>
      </c>
      <c r="Q69" s="17">
        <v>-9.7142857142857128E-2</v>
      </c>
      <c r="R69" s="21">
        <v>0.26349979669279222</v>
      </c>
      <c r="S69" s="3">
        <v>7</v>
      </c>
      <c r="T69" s="3">
        <v>342.08</v>
      </c>
      <c r="U69" s="3">
        <v>363.7</v>
      </c>
      <c r="V69" s="26">
        <v>0.60505315786188496</v>
      </c>
      <c r="W69" s="18">
        <v>8.5536287683459902E-2</v>
      </c>
      <c r="X69" s="18">
        <v>-0.15474078858607099</v>
      </c>
      <c r="Y69" s="18">
        <v>0.19580277440930599</v>
      </c>
      <c r="Z69" s="18">
        <v>0.96202257482167297</v>
      </c>
      <c r="AA69" s="18">
        <v>1.24666628367969</v>
      </c>
      <c r="AB69" s="18">
        <v>1.01717192067285</v>
      </c>
      <c r="AC69" s="18">
        <v>-0.41156865199974801</v>
      </c>
      <c r="AD69" s="18">
        <v>-0.277591226159358</v>
      </c>
      <c r="AE69" s="21">
        <v>7.4915914440715506E-2</v>
      </c>
      <c r="AF69" s="3">
        <v>1.8333299999999999</v>
      </c>
      <c r="AG69" s="3">
        <v>0.14844499999999999</v>
      </c>
      <c r="AH69" s="3">
        <v>3.0322399999999998</v>
      </c>
      <c r="AI69" s="3">
        <v>4.6666699999999999</v>
      </c>
      <c r="AJ69" s="3">
        <v>8.0222600000000005E-2</v>
      </c>
      <c r="AK69" s="3">
        <v>0.56792699999999996</v>
      </c>
      <c r="AL69" s="3">
        <v>0</v>
      </c>
      <c r="AM69" s="3">
        <v>7.4821399999999996E-2</v>
      </c>
      <c r="AN69" s="3">
        <v>-7.0517999999999997E-2</v>
      </c>
      <c r="AO69" s="3">
        <v>51.6111</v>
      </c>
      <c r="AP69" s="3">
        <v>0.31019200000000002</v>
      </c>
      <c r="AQ69" s="3">
        <v>0.57132099999999997</v>
      </c>
      <c r="AR69" s="3">
        <v>21.944400000000002</v>
      </c>
      <c r="AS69" s="3">
        <v>6.7284999999999998E-2</v>
      </c>
      <c r="AT69" s="3">
        <v>0.37653700000000001</v>
      </c>
      <c r="AU69" s="3">
        <v>59.6111</v>
      </c>
      <c r="AV69" s="3">
        <v>0.431728</v>
      </c>
      <c r="AW69" s="3">
        <v>7.8463000000000005E-2</v>
      </c>
      <c r="AX69" s="3">
        <v>0</v>
      </c>
      <c r="AY69" s="3">
        <v>0.142931</v>
      </c>
      <c r="AZ69" s="21">
        <v>-0.39784999999999998</v>
      </c>
      <c r="BA69" s="3">
        <v>21.623999999999999</v>
      </c>
      <c r="BB69" s="3">
        <v>6</v>
      </c>
    </row>
    <row r="70" spans="1:54" s="3" customFormat="1" ht="63" customHeight="1" x14ac:dyDescent="0.25">
      <c r="A70" s="2">
        <v>68</v>
      </c>
      <c r="B70" s="3">
        <v>1</v>
      </c>
      <c r="C70" s="2">
        <v>1</v>
      </c>
      <c r="D70" s="9">
        <v>70</v>
      </c>
      <c r="E70" s="3" t="s">
        <v>53</v>
      </c>
      <c r="F70" s="3">
        <f t="shared" si="8"/>
        <v>2</v>
      </c>
      <c r="G70" s="11"/>
      <c r="H70" s="3" t="s">
        <v>84</v>
      </c>
      <c r="I70" s="3">
        <f t="shared" si="9"/>
        <v>3</v>
      </c>
      <c r="J70" s="3" t="s">
        <v>91</v>
      </c>
      <c r="K70" s="3">
        <v>7</v>
      </c>
      <c r="L70" s="6" t="s">
        <v>152</v>
      </c>
      <c r="M70" s="3">
        <v>3</v>
      </c>
      <c r="N70" s="3">
        <f t="shared" si="10"/>
        <v>0.03</v>
      </c>
      <c r="O70" s="3">
        <v>50</v>
      </c>
      <c r="P70" s="3">
        <v>0.5</v>
      </c>
      <c r="Q70" s="17">
        <v>9.8888888888888901E-2</v>
      </c>
      <c r="R70" s="21">
        <v>0.29318493721098188</v>
      </c>
      <c r="S70" s="3">
        <v>8</v>
      </c>
      <c r="T70" s="3">
        <v>363.7</v>
      </c>
      <c r="U70" s="3">
        <v>388.09</v>
      </c>
      <c r="V70" s="26">
        <v>1.0421937370704799</v>
      </c>
      <c r="W70" s="18">
        <v>0.95390460268229904</v>
      </c>
      <c r="X70" s="18">
        <v>0.172345764740235</v>
      </c>
      <c r="Y70" s="18">
        <v>-0.93710313861991101</v>
      </c>
      <c r="Z70" s="18">
        <v>1.9607190696355601</v>
      </c>
      <c r="AA70" s="18">
        <v>1.3128638230135601</v>
      </c>
      <c r="AB70" s="18">
        <v>0.51131624288383304</v>
      </c>
      <c r="AC70" s="18">
        <v>-0.12349313551763599</v>
      </c>
      <c r="AD70" s="18">
        <v>1.51364164685838</v>
      </c>
      <c r="AE70" s="21">
        <v>-2.3261435040311502</v>
      </c>
      <c r="AF70" s="3">
        <v>0</v>
      </c>
      <c r="AG70" s="3">
        <v>0.36730600000000002</v>
      </c>
      <c r="AH70" s="3">
        <v>-0.20193700000000001</v>
      </c>
      <c r="AI70" s="3">
        <v>9.8029600000000006</v>
      </c>
      <c r="AJ70" s="3">
        <v>7.8721399999999997E-2</v>
      </c>
      <c r="AK70" s="3">
        <v>0.64227100000000004</v>
      </c>
      <c r="AL70" s="3">
        <v>0</v>
      </c>
      <c r="AM70" s="3">
        <v>7.8590499999999994E-3</v>
      </c>
      <c r="AN70" s="3">
        <v>-0.52219300000000002</v>
      </c>
      <c r="AO70" s="3">
        <v>51.822699999999998</v>
      </c>
      <c r="AP70" s="3">
        <v>0.34302500000000002</v>
      </c>
      <c r="AQ70" s="3">
        <v>0.66811799999999999</v>
      </c>
      <c r="AR70" s="3">
        <v>13.004899999999999</v>
      </c>
      <c r="AS70" s="3">
        <v>4.2895200000000001E-2</v>
      </c>
      <c r="AT70" s="3">
        <v>0.28115200000000001</v>
      </c>
      <c r="AU70" s="3">
        <v>59.901499999999999</v>
      </c>
      <c r="AV70" s="3">
        <v>0.55943900000000002</v>
      </c>
      <c r="AW70" s="3">
        <v>0.159303</v>
      </c>
      <c r="AX70" s="3">
        <v>0</v>
      </c>
      <c r="AY70" s="3">
        <v>0.18190999999999999</v>
      </c>
      <c r="AZ70" s="21">
        <v>-0.27555099999999999</v>
      </c>
      <c r="BA70" s="3">
        <v>24.382000000000001</v>
      </c>
      <c r="BB70" s="3">
        <v>7</v>
      </c>
    </row>
    <row r="71" spans="1:54" s="3" customFormat="1" ht="189" customHeight="1" x14ac:dyDescent="0.25">
      <c r="A71" s="2">
        <v>69</v>
      </c>
      <c r="B71" s="3">
        <v>1</v>
      </c>
      <c r="C71" s="2">
        <v>1</v>
      </c>
      <c r="D71" s="9">
        <v>70</v>
      </c>
      <c r="E71" s="3" t="s">
        <v>53</v>
      </c>
      <c r="F71" s="3">
        <f>IF(E72="Happy", 1,2)</f>
        <v>1</v>
      </c>
      <c r="G71" s="11"/>
      <c r="H71" s="3" t="s">
        <v>84</v>
      </c>
      <c r="I71" s="3">
        <f t="shared" si="9"/>
        <v>3</v>
      </c>
      <c r="J71" s="3" t="s">
        <v>92</v>
      </c>
      <c r="K71" s="3">
        <v>8</v>
      </c>
      <c r="L71" s="6" t="s">
        <v>186</v>
      </c>
      <c r="M71" s="3">
        <v>3</v>
      </c>
      <c r="N71" s="3">
        <f t="shared" si="10"/>
        <v>0.03</v>
      </c>
      <c r="O71" s="3">
        <v>50</v>
      </c>
      <c r="P71" s="3">
        <v>0.5</v>
      </c>
      <c r="Q71" s="17">
        <v>8.1076388888888878E-2</v>
      </c>
      <c r="R71" s="21">
        <v>0.36040222423661877</v>
      </c>
      <c r="S71" s="3">
        <v>9</v>
      </c>
      <c r="T71" s="3">
        <v>388.09</v>
      </c>
      <c r="U71" s="3">
        <v>466.16</v>
      </c>
      <c r="V71" s="26">
        <v>0.53761113718282905</v>
      </c>
      <c r="W71" s="18">
        <v>0.53300034546251496</v>
      </c>
      <c r="X71" s="18">
        <v>0.17800333047052899</v>
      </c>
      <c r="Y71" s="18">
        <v>-0.84127216335788102</v>
      </c>
      <c r="Z71" s="18">
        <v>0.82317687006481299</v>
      </c>
      <c r="AA71" s="18">
        <v>1.0417516011890899</v>
      </c>
      <c r="AB71" s="18">
        <v>0.17441948478378699</v>
      </c>
      <c r="AC71" s="18">
        <v>0.155392241788359</v>
      </c>
      <c r="AD71" s="18">
        <v>0.35409324507849299</v>
      </c>
      <c r="AE71" s="21">
        <v>-0.94056974186787601</v>
      </c>
      <c r="AF71" s="3">
        <v>1.6760600000000001</v>
      </c>
      <c r="AG71" s="3">
        <v>4.9018899999999997E-2</v>
      </c>
      <c r="AH71" s="3">
        <v>2.6377199999999998</v>
      </c>
      <c r="AI71" s="3">
        <v>6.9656599999999997</v>
      </c>
      <c r="AJ71" s="3">
        <v>6.4498100000000003E-2</v>
      </c>
      <c r="AK71" s="3">
        <v>0.604271</v>
      </c>
      <c r="AL71" s="3">
        <v>0</v>
      </c>
      <c r="AM71" s="3">
        <v>0</v>
      </c>
      <c r="AN71" s="3">
        <v>-0.53109399999999996</v>
      </c>
      <c r="AO71" s="3">
        <v>55.725299999999997</v>
      </c>
      <c r="AP71" s="3">
        <v>0.24043400000000001</v>
      </c>
      <c r="AQ71" s="3">
        <v>0.37290099999999998</v>
      </c>
      <c r="AR71" s="3">
        <v>18.636600000000001</v>
      </c>
      <c r="AS71" s="3">
        <v>0.16711300000000001</v>
      </c>
      <c r="AT71" s="3">
        <v>0.78759299999999999</v>
      </c>
      <c r="AU71" s="3">
        <v>58.662199999999999</v>
      </c>
      <c r="AV71" s="3">
        <v>0.62788999999999995</v>
      </c>
      <c r="AW71" s="3">
        <v>0.28529300000000002</v>
      </c>
      <c r="AX71" s="3">
        <v>0</v>
      </c>
      <c r="AY71" s="3">
        <v>0.17430999999999999</v>
      </c>
      <c r="AZ71" s="21">
        <v>-0.337059</v>
      </c>
      <c r="BA71" s="3">
        <v>78.072999999999993</v>
      </c>
      <c r="BB71" s="3">
        <v>8</v>
      </c>
    </row>
    <row r="72" spans="1:54" s="3" customFormat="1" ht="189" customHeight="1" x14ac:dyDescent="0.25">
      <c r="A72" s="2">
        <v>70</v>
      </c>
      <c r="B72" s="3">
        <v>2</v>
      </c>
      <c r="C72" s="2">
        <v>1</v>
      </c>
      <c r="D72" s="9">
        <v>68</v>
      </c>
      <c r="E72" s="3" t="s">
        <v>16</v>
      </c>
      <c r="F72" s="3">
        <f>IF(E73="Happy", 1,2)</f>
        <v>1</v>
      </c>
      <c r="G72" s="11" t="s">
        <v>17</v>
      </c>
      <c r="H72" s="3" t="s">
        <v>17</v>
      </c>
      <c r="I72" s="3">
        <f t="shared" si="9"/>
        <v>1</v>
      </c>
      <c r="J72" s="3" t="s">
        <v>18</v>
      </c>
      <c r="K72" s="3">
        <v>1</v>
      </c>
      <c r="L72" s="6" t="s">
        <v>187</v>
      </c>
      <c r="M72" s="3">
        <v>81</v>
      </c>
      <c r="N72" s="3">
        <f t="shared" si="10"/>
        <v>0.81</v>
      </c>
      <c r="O72" s="3">
        <v>74</v>
      </c>
      <c r="P72" s="3">
        <v>0.74</v>
      </c>
      <c r="Q72" s="17">
        <v>0.24888888888888891</v>
      </c>
      <c r="R72" s="21">
        <v>0.36317667791684538</v>
      </c>
      <c r="S72" s="3">
        <v>2</v>
      </c>
      <c r="T72" s="3">
        <v>59.27</v>
      </c>
      <c r="U72" s="3">
        <v>169.65</v>
      </c>
      <c r="V72" s="26">
        <v>-1.17160599764777</v>
      </c>
      <c r="W72" s="18">
        <v>1.3133599692111499</v>
      </c>
      <c r="X72" s="18">
        <v>-1.2773239627311499</v>
      </c>
      <c r="Y72" s="18">
        <v>-2.1753369410229801</v>
      </c>
      <c r="Z72" s="18">
        <v>-1.1331343129906299</v>
      </c>
      <c r="AA72" s="18">
        <v>-0.45734676544359598</v>
      </c>
      <c r="AB72" s="18">
        <v>-1.0084099941607501</v>
      </c>
      <c r="AC72" s="18">
        <v>7.9092583946500206E-2</v>
      </c>
      <c r="AD72" s="18">
        <v>0.32142100157585501</v>
      </c>
      <c r="AE72" s="21">
        <v>0.20521853794516601</v>
      </c>
      <c r="AF72" s="3">
        <v>5.4584999999999999</v>
      </c>
      <c r="AG72" s="3">
        <v>5.3452199999999998E-2</v>
      </c>
      <c r="AH72" s="3">
        <v>2.3285999999999998</v>
      </c>
      <c r="AI72" s="3">
        <v>0</v>
      </c>
      <c r="AJ72" s="3">
        <v>6.22973E-2</v>
      </c>
      <c r="AK72" s="3">
        <v>0.59833199999999997</v>
      </c>
      <c r="AL72" s="3">
        <v>0</v>
      </c>
      <c r="AM72" s="3">
        <v>0</v>
      </c>
      <c r="AN72" s="3">
        <v>-0.49438500000000002</v>
      </c>
      <c r="AO72" s="3">
        <v>0</v>
      </c>
      <c r="AP72" s="3">
        <v>7.9162300000000005E-2</v>
      </c>
      <c r="AQ72" s="3">
        <v>3.3668200000000001</v>
      </c>
      <c r="AR72" s="3">
        <v>8.6987999999999996E-2</v>
      </c>
      <c r="AS72" s="3">
        <v>0.10528899999999999</v>
      </c>
      <c r="AT72" s="3">
        <v>9.7861600000000006</v>
      </c>
      <c r="AU72" s="3">
        <v>0.532802</v>
      </c>
      <c r="AV72" s="3">
        <v>0.14057700000000001</v>
      </c>
      <c r="AW72" s="3">
        <v>3.2536800000000001</v>
      </c>
      <c r="AX72" s="3">
        <v>1.1308400000000001</v>
      </c>
      <c r="AY72" s="3">
        <v>0.329845</v>
      </c>
      <c r="AZ72" s="21">
        <v>3.4855800000000001</v>
      </c>
      <c r="BA72" s="3">
        <v>110.38</v>
      </c>
      <c r="BB72" s="3">
        <v>1</v>
      </c>
    </row>
    <row r="73" spans="1:54" s="3" customFormat="1" ht="94.5" customHeight="1" x14ac:dyDescent="0.25">
      <c r="A73" s="2">
        <v>71</v>
      </c>
      <c r="B73" s="3">
        <v>2</v>
      </c>
      <c r="C73" s="2">
        <v>1</v>
      </c>
      <c r="D73" s="9">
        <v>68</v>
      </c>
      <c r="E73" s="3" t="s">
        <v>16</v>
      </c>
      <c r="F73" s="3">
        <f t="shared" ref="F73:F80" si="11">IF(E73="Happy", 1,2)</f>
        <v>1</v>
      </c>
      <c r="G73" s="11"/>
      <c r="H73" s="3" t="s">
        <v>17</v>
      </c>
      <c r="I73" s="3">
        <f t="shared" si="9"/>
        <v>1</v>
      </c>
      <c r="J73" s="3" t="s">
        <v>19</v>
      </c>
      <c r="K73" s="3">
        <v>2</v>
      </c>
      <c r="L73" s="6" t="s">
        <v>188</v>
      </c>
      <c r="M73" s="3">
        <v>81</v>
      </c>
      <c r="N73" s="3">
        <f t="shared" si="10"/>
        <v>0.81</v>
      </c>
      <c r="O73" s="3">
        <v>74</v>
      </c>
      <c r="P73" s="3">
        <v>0.74</v>
      </c>
      <c r="Q73" s="17">
        <v>0.2072857142857143</v>
      </c>
      <c r="R73" s="21">
        <v>0.22862062962525809</v>
      </c>
      <c r="S73" s="3">
        <v>4</v>
      </c>
      <c r="T73" s="3">
        <v>177.99</v>
      </c>
      <c r="U73" s="3">
        <v>223.88</v>
      </c>
      <c r="V73" s="26">
        <v>-0.61062075215990497</v>
      </c>
      <c r="W73" s="18">
        <v>0.25930286614618397</v>
      </c>
      <c r="X73" s="18">
        <v>5.9577551828459502E-2</v>
      </c>
      <c r="Y73" s="18">
        <v>0.51789140130800104</v>
      </c>
      <c r="Z73" s="18">
        <v>-0.76249058530468095</v>
      </c>
      <c r="AA73" s="18">
        <v>-0.79701638405883302</v>
      </c>
      <c r="AB73" s="18">
        <v>-6.65625376657E-2</v>
      </c>
      <c r="AC73" s="18">
        <v>1.55059343825294</v>
      </c>
      <c r="AD73" s="18">
        <v>-0.66097773015233696</v>
      </c>
      <c r="AE73" s="21">
        <v>-0.82121020833843605</v>
      </c>
      <c r="AF73" s="3">
        <v>1.38683</v>
      </c>
      <c r="AG73" s="3">
        <v>9.4371200000000002E-2</v>
      </c>
      <c r="AH73" s="3">
        <v>2.4669400000000001</v>
      </c>
      <c r="AI73" s="3">
        <v>0</v>
      </c>
      <c r="AJ73" s="3">
        <v>8.9128399999999997E-2</v>
      </c>
      <c r="AK73" s="3">
        <v>0.13556699999999999</v>
      </c>
      <c r="AL73" s="3">
        <v>0</v>
      </c>
      <c r="AM73" s="3">
        <v>0</v>
      </c>
      <c r="AN73" s="3">
        <v>-0.49438500000000002</v>
      </c>
      <c r="AO73" s="3">
        <v>0</v>
      </c>
      <c r="AP73" s="3">
        <v>0.19065499999999999</v>
      </c>
      <c r="AQ73" s="3">
        <v>2.3677299999999999</v>
      </c>
      <c r="AR73" s="3">
        <v>0</v>
      </c>
      <c r="AS73" s="3">
        <v>6.2005400000000002E-2</v>
      </c>
      <c r="AT73" s="3">
        <v>2.8924799999999999</v>
      </c>
      <c r="AU73" s="3">
        <v>0</v>
      </c>
      <c r="AV73" s="3">
        <v>0.34079700000000002</v>
      </c>
      <c r="AW73" s="3">
        <v>1.39398</v>
      </c>
      <c r="AX73" s="3">
        <v>0.183166</v>
      </c>
      <c r="AY73" s="3">
        <v>0.42361300000000002</v>
      </c>
      <c r="AZ73" s="21">
        <v>4.0299500000000004</v>
      </c>
      <c r="BA73" s="3">
        <v>45.89</v>
      </c>
      <c r="BB73" s="3">
        <v>2</v>
      </c>
    </row>
    <row r="74" spans="1:54" s="3" customFormat="1" ht="110.25" customHeight="1" x14ac:dyDescent="0.25">
      <c r="A74" s="2">
        <v>72</v>
      </c>
      <c r="B74" s="3">
        <v>2</v>
      </c>
      <c r="C74" s="2">
        <v>1</v>
      </c>
      <c r="D74" s="9">
        <v>68</v>
      </c>
      <c r="E74" s="3" t="s">
        <v>16</v>
      </c>
      <c r="F74" s="3">
        <f t="shared" si="11"/>
        <v>1</v>
      </c>
      <c r="G74" s="11"/>
      <c r="H74" s="3" t="s">
        <v>17</v>
      </c>
      <c r="I74" s="3">
        <f t="shared" si="9"/>
        <v>1</v>
      </c>
      <c r="J74" s="3" t="s">
        <v>20</v>
      </c>
      <c r="K74" s="3">
        <v>3</v>
      </c>
      <c r="L74" s="6" t="s">
        <v>189</v>
      </c>
      <c r="M74" s="3">
        <v>81</v>
      </c>
      <c r="N74" s="3">
        <f t="shared" si="10"/>
        <v>0.81</v>
      </c>
      <c r="O74" s="3">
        <v>74</v>
      </c>
      <c r="P74" s="3">
        <v>0.74</v>
      </c>
      <c r="Q74" s="17">
        <v>0.17821428571428569</v>
      </c>
      <c r="R74" s="21">
        <v>0.29493895655751901</v>
      </c>
      <c r="S74" s="3">
        <v>6</v>
      </c>
      <c r="T74" s="3">
        <v>231.55</v>
      </c>
      <c r="U74" s="3">
        <v>293.94</v>
      </c>
      <c r="V74" s="26">
        <v>0.96742837113736602</v>
      </c>
      <c r="W74" s="18">
        <v>0.380955557182935</v>
      </c>
      <c r="X74" s="18">
        <v>1.19641255097953</v>
      </c>
      <c r="Y74" s="18">
        <v>0.78686615057146303</v>
      </c>
      <c r="Z74" s="18">
        <v>-0.60919606635208601</v>
      </c>
      <c r="AA74" s="18">
        <v>-0.79491813423453705</v>
      </c>
      <c r="AB74" s="18">
        <v>0.97975189515123495</v>
      </c>
      <c r="AC74" s="18">
        <v>0.39787342001505899</v>
      </c>
      <c r="AD74" s="18">
        <v>0.229458354061988</v>
      </c>
      <c r="AE74" s="21">
        <v>-1.3068119343167599</v>
      </c>
      <c r="AF74" s="3">
        <v>4.8877499999999996</v>
      </c>
      <c r="AG74" s="3">
        <v>0.180178</v>
      </c>
      <c r="AH74" s="3">
        <v>2.8651200000000001</v>
      </c>
      <c r="AI74" s="3">
        <v>1.05837</v>
      </c>
      <c r="AJ74" s="3">
        <v>3.65756E-2</v>
      </c>
      <c r="AK74" s="3">
        <v>2.8466100000000001</v>
      </c>
      <c r="AL74" s="3">
        <v>0</v>
      </c>
      <c r="AM74" s="3">
        <v>0</v>
      </c>
      <c r="AN74" s="3">
        <v>-0.49438500000000002</v>
      </c>
      <c r="AO74" s="3">
        <v>0.61577899999999997</v>
      </c>
      <c r="AP74" s="3">
        <v>0.15267500000000001</v>
      </c>
      <c r="AQ74" s="3">
        <v>7.7355999999999998</v>
      </c>
      <c r="AR74" s="3">
        <v>0.40410499999999999</v>
      </c>
      <c r="AS74" s="3">
        <v>0.16353400000000001</v>
      </c>
      <c r="AT74" s="3">
        <v>9.7475100000000001</v>
      </c>
      <c r="AU74" s="3">
        <v>1.15459</v>
      </c>
      <c r="AV74" s="3">
        <v>0.20724600000000001</v>
      </c>
      <c r="AW74" s="3">
        <v>3.6450499999999999</v>
      </c>
      <c r="AX74" s="3">
        <v>0.50032100000000002</v>
      </c>
      <c r="AY74" s="3">
        <v>0.20339699999999999</v>
      </c>
      <c r="AZ74" s="21">
        <v>3.5420500000000001</v>
      </c>
      <c r="BA74" s="3">
        <v>62.386000000000003</v>
      </c>
      <c r="BB74" s="3">
        <v>3</v>
      </c>
    </row>
    <row r="75" spans="1:54" s="3" customFormat="1" ht="78.75" customHeight="1" x14ac:dyDescent="0.25">
      <c r="A75" s="2">
        <v>73</v>
      </c>
      <c r="B75" s="3">
        <v>2</v>
      </c>
      <c r="C75" s="2">
        <v>1</v>
      </c>
      <c r="D75" s="9">
        <v>68</v>
      </c>
      <c r="E75" s="3" t="s">
        <v>16</v>
      </c>
      <c r="F75" s="3">
        <f t="shared" si="11"/>
        <v>1</v>
      </c>
      <c r="G75" s="11"/>
      <c r="H75" s="3" t="s">
        <v>17</v>
      </c>
      <c r="I75" s="3">
        <f t="shared" si="9"/>
        <v>1</v>
      </c>
      <c r="J75" s="3" t="s">
        <v>21</v>
      </c>
      <c r="K75" s="3">
        <v>4</v>
      </c>
      <c r="L75" s="6" t="s">
        <v>190</v>
      </c>
      <c r="M75" s="3">
        <v>81</v>
      </c>
      <c r="N75" s="3">
        <f t="shared" si="10"/>
        <v>0.81</v>
      </c>
      <c r="O75" s="3">
        <v>74</v>
      </c>
      <c r="P75" s="3">
        <v>0.74</v>
      </c>
      <c r="Q75" s="17">
        <v>0.27904761904761899</v>
      </c>
      <c r="R75" s="21">
        <v>0.22964134512820261</v>
      </c>
      <c r="S75" s="3">
        <v>8</v>
      </c>
      <c r="T75" s="3">
        <v>309.89</v>
      </c>
      <c r="U75" s="3">
        <v>352.84</v>
      </c>
      <c r="V75" s="26">
        <v>-0.54374782538095701</v>
      </c>
      <c r="W75" s="18">
        <v>-0.466591467779785</v>
      </c>
      <c r="X75" s="18">
        <v>-0.83755937480847198</v>
      </c>
      <c r="Y75" s="18">
        <v>0.35876684376053902</v>
      </c>
      <c r="Z75" s="18">
        <v>1.39979193131725</v>
      </c>
      <c r="AA75" s="18">
        <v>1.39957347244214</v>
      </c>
      <c r="AB75" s="18">
        <v>1.7882592868249401</v>
      </c>
      <c r="AC75" s="18">
        <v>-0.82137014498171101</v>
      </c>
      <c r="AD75" s="18">
        <v>0.167202741559623</v>
      </c>
      <c r="AE75" s="21">
        <v>-0.53746645472757004</v>
      </c>
      <c r="AF75" s="3">
        <v>5.1979499999999996</v>
      </c>
      <c r="AG75" s="3">
        <v>0.356771</v>
      </c>
      <c r="AH75" s="3">
        <v>3.5174099999999999</v>
      </c>
      <c r="AI75" s="3">
        <v>0</v>
      </c>
      <c r="AJ75" s="3">
        <v>0.22842699999999999</v>
      </c>
      <c r="AK75" s="3">
        <v>0.42359799999999997</v>
      </c>
      <c r="AL75" s="3">
        <v>0</v>
      </c>
      <c r="AM75" s="3">
        <v>0</v>
      </c>
      <c r="AN75" s="3">
        <v>-0.49438500000000002</v>
      </c>
      <c r="AO75" s="3">
        <v>0</v>
      </c>
      <c r="AP75" s="3">
        <v>0.21465200000000001</v>
      </c>
      <c r="AQ75" s="3">
        <v>0.69706599999999996</v>
      </c>
      <c r="AR75" s="3">
        <v>0</v>
      </c>
      <c r="AS75" s="3">
        <v>0.13247100000000001</v>
      </c>
      <c r="AT75" s="3">
        <v>0.28248000000000001</v>
      </c>
      <c r="AU75" s="3">
        <v>0</v>
      </c>
      <c r="AV75" s="3">
        <v>0.32193500000000003</v>
      </c>
      <c r="AW75" s="3">
        <v>0.293989</v>
      </c>
      <c r="AX75" s="3">
        <v>0</v>
      </c>
      <c r="AY75" s="3">
        <v>0.216665</v>
      </c>
      <c r="AZ75" s="21">
        <v>-0.123556</v>
      </c>
      <c r="BA75" s="3">
        <v>42.95</v>
      </c>
      <c r="BB75" s="3">
        <v>4</v>
      </c>
    </row>
    <row r="76" spans="1:54" s="3" customFormat="1" ht="78.75" customHeight="1" x14ac:dyDescent="0.25">
      <c r="A76" s="2">
        <v>74</v>
      </c>
      <c r="B76" s="3">
        <v>2</v>
      </c>
      <c r="C76" s="2">
        <v>1</v>
      </c>
      <c r="D76" s="9">
        <v>68</v>
      </c>
      <c r="E76" s="3" t="s">
        <v>16</v>
      </c>
      <c r="F76" s="3">
        <f t="shared" si="11"/>
        <v>1</v>
      </c>
      <c r="G76" s="11"/>
      <c r="H76" s="3" t="s">
        <v>17</v>
      </c>
      <c r="I76" s="3">
        <f t="shared" si="9"/>
        <v>1</v>
      </c>
      <c r="J76" s="3" t="s">
        <v>22</v>
      </c>
      <c r="K76" s="3">
        <v>5</v>
      </c>
      <c r="L76" s="6" t="s">
        <v>165</v>
      </c>
      <c r="M76" s="3">
        <v>81</v>
      </c>
      <c r="N76" s="3">
        <f t="shared" si="10"/>
        <v>0.81</v>
      </c>
      <c r="O76" s="3">
        <v>74</v>
      </c>
      <c r="P76" s="3">
        <v>0.74</v>
      </c>
      <c r="Q76" s="17">
        <v>0.20714285714285721</v>
      </c>
      <c r="R76" s="21">
        <v>0.13131983079178741</v>
      </c>
      <c r="S76" s="3">
        <v>10</v>
      </c>
      <c r="T76" s="3">
        <v>354.96</v>
      </c>
      <c r="U76" s="3">
        <v>385.94</v>
      </c>
      <c r="V76" s="26">
        <v>-0.668841906821384</v>
      </c>
      <c r="W76" s="18">
        <v>-1.28644931341685</v>
      </c>
      <c r="X76" s="18">
        <v>-1.3749515431303501</v>
      </c>
      <c r="Y76" s="18">
        <v>4.0834169547105802E-2</v>
      </c>
      <c r="Z76" s="18">
        <v>-1.3312671147897599</v>
      </c>
      <c r="AA76" s="18">
        <v>-1.3066133818268699</v>
      </c>
      <c r="AB76" s="18">
        <v>1.10486861198223</v>
      </c>
      <c r="AC76" s="18">
        <v>-0.17156814024096201</v>
      </c>
      <c r="AD76" s="18">
        <v>-0.97793887762288401</v>
      </c>
      <c r="AE76" s="21">
        <v>-5.3769049243275399E-2</v>
      </c>
      <c r="AF76" s="3">
        <v>5.0775199999999998</v>
      </c>
      <c r="AG76" s="3">
        <v>0.28481600000000001</v>
      </c>
      <c r="AH76" s="3">
        <v>3.6780599999999999</v>
      </c>
      <c r="AI76" s="3">
        <v>0</v>
      </c>
      <c r="AJ76" s="3">
        <v>0.24864700000000001</v>
      </c>
      <c r="AK76" s="3">
        <v>0.19639000000000001</v>
      </c>
      <c r="AL76" s="3">
        <v>0</v>
      </c>
      <c r="AM76" s="3">
        <v>0</v>
      </c>
      <c r="AN76" s="3">
        <v>-0.49438500000000002</v>
      </c>
      <c r="AO76" s="3">
        <v>0</v>
      </c>
      <c r="AP76" s="3">
        <v>0.25325399999999998</v>
      </c>
      <c r="AQ76" s="3">
        <v>0.93444199999999999</v>
      </c>
      <c r="AR76" s="3">
        <v>0</v>
      </c>
      <c r="AS76" s="3">
        <v>0.20970900000000001</v>
      </c>
      <c r="AT76" s="3">
        <v>1.2795300000000001</v>
      </c>
      <c r="AU76" s="3">
        <v>0</v>
      </c>
      <c r="AV76" s="3">
        <v>0.46052100000000001</v>
      </c>
      <c r="AW76" s="3">
        <v>0.918516</v>
      </c>
      <c r="AX76" s="3">
        <v>0</v>
      </c>
      <c r="AY76" s="3">
        <v>0.22745499999999999</v>
      </c>
      <c r="AZ76" s="21">
        <v>-2.0971500000000001E-2</v>
      </c>
      <c r="BA76" s="3">
        <v>30.98</v>
      </c>
      <c r="BB76" s="3">
        <v>5</v>
      </c>
    </row>
    <row r="77" spans="1:54" s="3" customFormat="1" ht="47.25" customHeight="1" x14ac:dyDescent="0.25">
      <c r="A77" s="2">
        <v>75</v>
      </c>
      <c r="B77" s="3">
        <v>2</v>
      </c>
      <c r="C77" s="2">
        <v>1</v>
      </c>
      <c r="D77" s="9">
        <v>68</v>
      </c>
      <c r="E77" s="3" t="s">
        <v>16</v>
      </c>
      <c r="F77" s="3">
        <f t="shared" si="11"/>
        <v>1</v>
      </c>
      <c r="G77" s="11"/>
      <c r="H77" s="3" t="s">
        <v>17</v>
      </c>
      <c r="I77" s="3">
        <f t="shared" si="9"/>
        <v>1</v>
      </c>
      <c r="J77" s="3" t="s">
        <v>23</v>
      </c>
      <c r="K77" s="3">
        <v>6</v>
      </c>
      <c r="L77" s="6" t="s">
        <v>147</v>
      </c>
      <c r="M77" s="3">
        <v>81</v>
      </c>
      <c r="N77" s="3">
        <f t="shared" si="10"/>
        <v>0.81</v>
      </c>
      <c r="O77" s="3">
        <v>74</v>
      </c>
      <c r="P77" s="3">
        <v>0.74</v>
      </c>
      <c r="Q77" s="17">
        <v>-1.8749999999999989E-2</v>
      </c>
      <c r="R77" s="21">
        <v>0.39774756441743297</v>
      </c>
      <c r="S77" s="3">
        <v>12</v>
      </c>
      <c r="T77" s="3">
        <v>394.21</v>
      </c>
      <c r="U77" s="3">
        <v>414.88</v>
      </c>
      <c r="V77" s="26">
        <v>-0.86139810382295401</v>
      </c>
      <c r="W77" s="18">
        <v>-0.38059314105626801</v>
      </c>
      <c r="X77" s="18">
        <v>0.118126993844824</v>
      </c>
      <c r="Y77" s="18">
        <v>-0.12918499549153001</v>
      </c>
      <c r="Z77" s="18">
        <v>-0.89467617239770703</v>
      </c>
      <c r="AA77" s="18">
        <v>-1.54778868516051</v>
      </c>
      <c r="AB77" s="18">
        <v>0.16673689050504301</v>
      </c>
      <c r="AC77" s="18">
        <v>-6.6727030548964603E-2</v>
      </c>
      <c r="AD77" s="18">
        <v>-1.0110040992009</v>
      </c>
      <c r="AE77" s="21">
        <v>2.3989957470707899</v>
      </c>
      <c r="AF77" s="3">
        <v>1.7441899999999999</v>
      </c>
      <c r="AG77" s="3">
        <v>0.32590799999999998</v>
      </c>
      <c r="AH77" s="3">
        <v>3.0423100000000001</v>
      </c>
      <c r="AI77" s="3">
        <v>0</v>
      </c>
      <c r="AJ77" s="3">
        <v>6.8917199999999998E-2</v>
      </c>
      <c r="AK77" s="3">
        <v>1.9212</v>
      </c>
      <c r="AL77" s="3">
        <v>0</v>
      </c>
      <c r="AM77" s="3">
        <v>0</v>
      </c>
      <c r="AN77" s="3">
        <v>-0.49438500000000002</v>
      </c>
      <c r="AO77" s="3">
        <v>0</v>
      </c>
      <c r="AP77" s="3">
        <v>6.2596600000000002E-2</v>
      </c>
      <c r="AQ77" s="3">
        <v>0.96476200000000001</v>
      </c>
      <c r="AR77" s="3">
        <v>0</v>
      </c>
      <c r="AS77" s="3">
        <v>0</v>
      </c>
      <c r="AT77" s="3">
        <v>-0.359012</v>
      </c>
      <c r="AU77" s="3">
        <v>0</v>
      </c>
      <c r="AV77" s="3">
        <v>4.23428E-2</v>
      </c>
      <c r="AW77" s="3">
        <v>-0.66876000000000002</v>
      </c>
      <c r="AX77" s="3">
        <v>0</v>
      </c>
      <c r="AY77" s="3">
        <v>0</v>
      </c>
      <c r="AZ77" s="21">
        <v>-0.59694499999999995</v>
      </c>
      <c r="BA77" s="3">
        <v>20.67</v>
      </c>
      <c r="BB77" s="3">
        <v>6</v>
      </c>
    </row>
    <row r="78" spans="1:54" s="3" customFormat="1" ht="78.75" customHeight="1" x14ac:dyDescent="0.25">
      <c r="A78" s="2">
        <v>76</v>
      </c>
      <c r="B78" s="3">
        <v>2</v>
      </c>
      <c r="C78" s="2">
        <v>1</v>
      </c>
      <c r="D78" s="9">
        <v>68</v>
      </c>
      <c r="E78" s="3" t="s">
        <v>16</v>
      </c>
      <c r="F78" s="3">
        <f t="shared" si="11"/>
        <v>1</v>
      </c>
      <c r="G78" s="11"/>
      <c r="H78" s="3" t="s">
        <v>17</v>
      </c>
      <c r="I78" s="3">
        <f t="shared" si="9"/>
        <v>1</v>
      </c>
      <c r="J78" s="3" t="s">
        <v>24</v>
      </c>
      <c r="K78" s="3">
        <v>7</v>
      </c>
      <c r="L78" s="6" t="s">
        <v>190</v>
      </c>
      <c r="M78" s="3">
        <v>81</v>
      </c>
      <c r="N78" s="3">
        <f t="shared" si="10"/>
        <v>0.81</v>
      </c>
      <c r="O78" s="3">
        <v>74</v>
      </c>
      <c r="P78" s="3">
        <v>0.74</v>
      </c>
      <c r="Q78" s="17">
        <v>0.1763888888888889</v>
      </c>
      <c r="R78" s="21">
        <v>7.1103515219313934E-2</v>
      </c>
      <c r="S78" s="3">
        <v>14</v>
      </c>
      <c r="T78" s="3">
        <v>428.86</v>
      </c>
      <c r="U78" s="3">
        <v>472.23</v>
      </c>
      <c r="V78" s="26">
        <v>7.0295420440219594E-2</v>
      </c>
      <c r="W78" s="18">
        <v>0.49297443898225002</v>
      </c>
      <c r="X78" s="18">
        <v>1.27268268638395</v>
      </c>
      <c r="Y78" s="18">
        <v>0.390139696867908</v>
      </c>
      <c r="Z78" s="18">
        <v>-0.74997080502935098</v>
      </c>
      <c r="AA78" s="18">
        <v>-0.80142888001286405</v>
      </c>
      <c r="AB78" s="18">
        <v>-1.17872466809427</v>
      </c>
      <c r="AC78" s="18">
        <v>-0.78518133554487901</v>
      </c>
      <c r="AD78" s="18">
        <v>-0.91723319738198905</v>
      </c>
      <c r="AE78" s="21">
        <v>1.17642198990182</v>
      </c>
      <c r="AF78" s="3">
        <v>0</v>
      </c>
      <c r="AG78" s="3">
        <v>0.197966</v>
      </c>
      <c r="AH78" s="3">
        <v>-0.53042999999999996</v>
      </c>
      <c r="AI78" s="3">
        <v>0</v>
      </c>
      <c r="AJ78" s="3">
        <v>0.23057800000000001</v>
      </c>
      <c r="AK78" s="3">
        <v>-0.14755399999999999</v>
      </c>
      <c r="AL78" s="3">
        <v>0</v>
      </c>
      <c r="AM78" s="3">
        <v>0.190997</v>
      </c>
      <c r="AN78" s="3">
        <v>0.119492</v>
      </c>
      <c r="AO78" s="3">
        <v>0</v>
      </c>
      <c r="AP78" s="3">
        <v>9.1642000000000001E-2</v>
      </c>
      <c r="AQ78" s="3">
        <v>-0.29384100000000002</v>
      </c>
      <c r="AR78" s="3">
        <v>0</v>
      </c>
      <c r="AS78" s="3">
        <v>8.3921300000000004E-2</v>
      </c>
      <c r="AT78" s="3">
        <v>-0.23127500000000001</v>
      </c>
      <c r="AU78" s="3">
        <v>0.24907699999999999</v>
      </c>
      <c r="AV78" s="3">
        <v>6.27384E-2</v>
      </c>
      <c r="AW78" s="3">
        <v>2.7943899999999999</v>
      </c>
      <c r="AX78" s="3">
        <v>0</v>
      </c>
      <c r="AY78" s="3">
        <v>2.8037699999999999E-2</v>
      </c>
      <c r="AZ78" s="21">
        <v>-0.53911699999999996</v>
      </c>
      <c r="BA78" s="3">
        <v>43.37</v>
      </c>
      <c r="BB78" s="3">
        <v>7</v>
      </c>
    </row>
    <row r="79" spans="1:54" s="3" customFormat="1" ht="141.75" customHeight="1" x14ac:dyDescent="0.25">
      <c r="A79" s="2">
        <v>77</v>
      </c>
      <c r="B79" s="3">
        <v>2</v>
      </c>
      <c r="C79" s="2">
        <v>1</v>
      </c>
      <c r="D79" s="9">
        <v>68</v>
      </c>
      <c r="E79" s="3" t="s">
        <v>16</v>
      </c>
      <c r="F79" s="3">
        <f t="shared" si="11"/>
        <v>1</v>
      </c>
      <c r="G79" s="11" t="s">
        <v>26</v>
      </c>
      <c r="H79" s="3" t="s">
        <v>26</v>
      </c>
      <c r="I79" s="3">
        <f t="shared" si="9"/>
        <v>2</v>
      </c>
      <c r="J79" s="3" t="s">
        <v>27</v>
      </c>
      <c r="K79" s="3">
        <v>1</v>
      </c>
      <c r="L79" s="6" t="s">
        <v>191</v>
      </c>
      <c r="M79" s="3">
        <v>90</v>
      </c>
      <c r="N79" s="3">
        <f t="shared" si="10"/>
        <v>0.9</v>
      </c>
      <c r="O79" s="3">
        <v>84</v>
      </c>
      <c r="P79" s="3">
        <v>0.84</v>
      </c>
      <c r="Q79" s="17">
        <v>0.23604166666666671</v>
      </c>
      <c r="R79" s="21">
        <v>0.28532458977062908</v>
      </c>
      <c r="S79" s="3">
        <v>2</v>
      </c>
      <c r="T79" s="3">
        <v>23.96</v>
      </c>
      <c r="U79" s="3">
        <v>97.97</v>
      </c>
      <c r="V79" s="26">
        <v>-0.33833800994679802</v>
      </c>
      <c r="W79" s="18">
        <v>-0.65028988359442397</v>
      </c>
      <c r="X79" s="18">
        <v>-0.29528808631856202</v>
      </c>
      <c r="Y79" s="18">
        <v>-0.184923796473354</v>
      </c>
      <c r="Z79" s="18">
        <v>3.0040621891831799E-2</v>
      </c>
      <c r="AA79" s="18">
        <v>0.23538424272428299</v>
      </c>
      <c r="AB79" s="18">
        <v>-1.8432930130923999</v>
      </c>
      <c r="AC79" s="18">
        <v>-0.75697535171911301</v>
      </c>
      <c r="AD79" s="18">
        <v>-0.724783274916172</v>
      </c>
      <c r="AE79" s="21">
        <v>0.17474941004064401</v>
      </c>
      <c r="AF79" s="3">
        <v>10.329700000000001</v>
      </c>
      <c r="AG79" s="3">
        <v>0.18979399999999999</v>
      </c>
      <c r="AH79" s="3">
        <v>2.6523500000000002</v>
      </c>
      <c r="AI79" s="3">
        <v>0</v>
      </c>
      <c r="AJ79" s="3">
        <v>5.1079300000000001E-2</v>
      </c>
      <c r="AK79" s="3">
        <v>0.361653</v>
      </c>
      <c r="AL79" s="3">
        <v>0</v>
      </c>
      <c r="AM79" s="3">
        <v>0</v>
      </c>
      <c r="AN79" s="3">
        <v>-0.51515200000000005</v>
      </c>
      <c r="AO79" s="3">
        <v>0.56756799999999996</v>
      </c>
      <c r="AP79" s="3">
        <v>0.107656</v>
      </c>
      <c r="AQ79" s="3">
        <v>5.7712599999999998</v>
      </c>
      <c r="AR79" s="3">
        <v>0</v>
      </c>
      <c r="AS79" s="3">
        <v>5.8188499999999997E-2</v>
      </c>
      <c r="AT79" s="3">
        <v>4.0022000000000002</v>
      </c>
      <c r="AU79" s="3">
        <v>1.9297299999999999</v>
      </c>
      <c r="AV79" s="3">
        <v>0.22606499999999999</v>
      </c>
      <c r="AW79" s="3">
        <v>3.38246</v>
      </c>
      <c r="AX79" s="3">
        <v>7.8324299999999996</v>
      </c>
      <c r="AY79" s="3">
        <v>0.42591299999999999</v>
      </c>
      <c r="AZ79" s="21">
        <v>3.5008699999999999</v>
      </c>
      <c r="BA79" s="3">
        <v>74.010000000000005</v>
      </c>
      <c r="BB79" s="3">
        <v>1</v>
      </c>
    </row>
    <row r="80" spans="1:54" s="3" customFormat="1" ht="126" customHeight="1" x14ac:dyDescent="0.25">
      <c r="A80" s="2">
        <v>78</v>
      </c>
      <c r="B80" s="3">
        <v>2</v>
      </c>
      <c r="C80" s="2">
        <v>1</v>
      </c>
      <c r="D80" s="9">
        <v>68</v>
      </c>
      <c r="E80" s="3" t="s">
        <v>16</v>
      </c>
      <c r="F80" s="3">
        <f t="shared" si="11"/>
        <v>1</v>
      </c>
      <c r="G80" s="11"/>
      <c r="H80" s="3" t="s">
        <v>26</v>
      </c>
      <c r="I80" s="3">
        <f t="shared" si="9"/>
        <v>2</v>
      </c>
      <c r="J80" s="3" t="s">
        <v>28</v>
      </c>
      <c r="K80" s="3">
        <v>2</v>
      </c>
      <c r="L80" s="6" t="s">
        <v>186</v>
      </c>
      <c r="M80" s="3">
        <v>90</v>
      </c>
      <c r="N80" s="3">
        <f t="shared" si="10"/>
        <v>0.9</v>
      </c>
      <c r="O80" s="3">
        <v>84</v>
      </c>
      <c r="P80" s="3">
        <v>0.84</v>
      </c>
      <c r="Q80" s="17">
        <v>0.46180555555555552</v>
      </c>
      <c r="R80" s="21">
        <v>0.36588417136007922</v>
      </c>
      <c r="S80" s="3">
        <v>4</v>
      </c>
      <c r="T80" s="3">
        <v>101.08</v>
      </c>
      <c r="U80" s="3">
        <v>178.78</v>
      </c>
      <c r="V80" s="26">
        <v>0.211003004608772</v>
      </c>
      <c r="W80" s="18">
        <v>0.214307058382885</v>
      </c>
      <c r="X80" s="18">
        <v>0.92415312789957804</v>
      </c>
      <c r="Y80" s="18">
        <v>0.44949496506672099</v>
      </c>
      <c r="Z80" s="18">
        <v>-0.20172089204219401</v>
      </c>
      <c r="AA80" s="18">
        <v>-0.50551394155718599</v>
      </c>
      <c r="AB80" s="18">
        <v>-1.50671800868859E-3</v>
      </c>
      <c r="AC80" s="18">
        <v>0.85449104496801598</v>
      </c>
      <c r="AD80" s="18">
        <v>0.16487784316741799</v>
      </c>
      <c r="AE80" s="21">
        <v>-6.9003613195536107E-2</v>
      </c>
      <c r="AF80" s="3">
        <v>4.2625500000000001</v>
      </c>
      <c r="AG80" s="3">
        <v>0.156281</v>
      </c>
      <c r="AH80" s="3">
        <v>2.94651</v>
      </c>
      <c r="AI80" s="3">
        <v>0</v>
      </c>
      <c r="AJ80" s="3">
        <v>0.16774700000000001</v>
      </c>
      <c r="AK80" s="3">
        <v>0.59333999999999998</v>
      </c>
      <c r="AL80" s="3">
        <v>0</v>
      </c>
      <c r="AM80" s="3">
        <v>0</v>
      </c>
      <c r="AN80" s="3">
        <v>-0.51515200000000005</v>
      </c>
      <c r="AO80" s="3">
        <v>0.23166</v>
      </c>
      <c r="AP80" s="3">
        <v>4.23609E-2</v>
      </c>
      <c r="AQ80" s="3">
        <v>5.2809900000000001</v>
      </c>
      <c r="AR80" s="3">
        <v>0</v>
      </c>
      <c r="AS80" s="3">
        <v>4.8218299999999999E-2</v>
      </c>
      <c r="AT80" s="3">
        <v>3.7531500000000002</v>
      </c>
      <c r="AU80" s="3">
        <v>0.77220100000000003</v>
      </c>
      <c r="AV80" s="3">
        <v>0.13963</v>
      </c>
      <c r="AW80" s="3">
        <v>3.2275299999999998</v>
      </c>
      <c r="AX80" s="3">
        <v>2.64093</v>
      </c>
      <c r="AY80" s="3">
        <v>0.248811</v>
      </c>
      <c r="AZ80" s="21">
        <v>2.86293</v>
      </c>
      <c r="BA80" s="3">
        <v>77.703000000000003</v>
      </c>
      <c r="BB80" s="3">
        <v>2</v>
      </c>
    </row>
    <row r="81" spans="1:54" s="3" customFormat="1" ht="94.5" customHeight="1" x14ac:dyDescent="0.25">
      <c r="A81" s="2">
        <v>79</v>
      </c>
      <c r="B81" s="3">
        <v>2</v>
      </c>
      <c r="C81" s="2">
        <v>1</v>
      </c>
      <c r="D81" s="9">
        <v>68</v>
      </c>
      <c r="E81" s="3" t="s">
        <v>16</v>
      </c>
      <c r="F81" s="3">
        <f>IF(E82="Happy", 1,2)</f>
        <v>1</v>
      </c>
      <c r="G81" s="11"/>
      <c r="H81" s="3" t="s">
        <v>26</v>
      </c>
      <c r="I81" s="3">
        <f t="shared" si="9"/>
        <v>2</v>
      </c>
      <c r="J81" s="3" t="s">
        <v>29</v>
      </c>
      <c r="K81" s="3">
        <v>3</v>
      </c>
      <c r="L81" s="6" t="s">
        <v>149</v>
      </c>
      <c r="M81" s="3">
        <v>90</v>
      </c>
      <c r="N81" s="3">
        <f t="shared" si="10"/>
        <v>0.9</v>
      </c>
      <c r="O81" s="3">
        <v>84</v>
      </c>
      <c r="P81" s="3">
        <v>0.84</v>
      </c>
      <c r="Q81" s="17">
        <v>0.41714285714285709</v>
      </c>
      <c r="R81" s="21">
        <v>0</v>
      </c>
      <c r="S81" s="3">
        <v>5</v>
      </c>
      <c r="T81" s="3">
        <v>178.78</v>
      </c>
      <c r="U81" s="3">
        <v>220.89</v>
      </c>
      <c r="V81" s="26">
        <v>0.94679125879264503</v>
      </c>
      <c r="W81" s="18">
        <v>0.48921646898363502</v>
      </c>
      <c r="X81" s="18">
        <v>-0.54678866016508998</v>
      </c>
      <c r="Y81" s="18">
        <v>1.03265030380599</v>
      </c>
      <c r="Z81" s="18">
        <v>-0.79116961686561305</v>
      </c>
      <c r="AA81" s="18">
        <v>-0.63600656665927702</v>
      </c>
      <c r="AB81" s="18">
        <v>0.22807697514419101</v>
      </c>
      <c r="AC81" s="18">
        <v>-0.36315595490653901</v>
      </c>
      <c r="AD81" s="18">
        <v>-1.3109159917952899</v>
      </c>
      <c r="AE81" s="21">
        <v>3.3605655777043798E-3</v>
      </c>
      <c r="AF81" s="3">
        <v>1.68251</v>
      </c>
      <c r="AG81" s="3">
        <v>0.27959299999999998</v>
      </c>
      <c r="AH81" s="3">
        <v>3.153</v>
      </c>
      <c r="AI81" s="3">
        <v>0.39923999999999998</v>
      </c>
      <c r="AJ81" s="3">
        <v>3.6228400000000001E-2</v>
      </c>
      <c r="AK81" s="3">
        <v>2.6667800000000002</v>
      </c>
      <c r="AL81" s="3">
        <v>0</v>
      </c>
      <c r="AM81" s="3">
        <v>0</v>
      </c>
      <c r="AN81" s="3">
        <v>-0.51515200000000005</v>
      </c>
      <c r="AO81" s="3">
        <v>0</v>
      </c>
      <c r="AP81" s="3">
        <v>0.18492800000000001</v>
      </c>
      <c r="AQ81" s="3">
        <v>0.40938600000000003</v>
      </c>
      <c r="AR81" s="3">
        <v>0</v>
      </c>
      <c r="AS81" s="3">
        <v>0</v>
      </c>
      <c r="AT81" s="3">
        <v>-0.43363499999999999</v>
      </c>
      <c r="AU81" s="3">
        <v>0</v>
      </c>
      <c r="AV81" s="3">
        <v>5.9701600000000001E-2</v>
      </c>
      <c r="AW81" s="3">
        <v>-0.64593500000000004</v>
      </c>
      <c r="AX81" s="3">
        <v>0</v>
      </c>
      <c r="AY81" s="3">
        <v>0</v>
      </c>
      <c r="AZ81" s="21">
        <v>-0.58706100000000006</v>
      </c>
      <c r="BA81" s="3">
        <v>42.106999999999999</v>
      </c>
      <c r="BB81" s="3">
        <v>3</v>
      </c>
    </row>
    <row r="82" spans="1:54" s="3" customFormat="1" ht="157.5" customHeight="1" x14ac:dyDescent="0.25">
      <c r="A82" s="2">
        <v>80</v>
      </c>
      <c r="B82" s="3">
        <v>2</v>
      </c>
      <c r="C82" s="2">
        <v>1</v>
      </c>
      <c r="D82" s="9">
        <v>68</v>
      </c>
      <c r="E82" s="3" t="s">
        <v>16</v>
      </c>
      <c r="F82" s="3">
        <f>IF(E83="Happy", 1,2)</f>
        <v>1</v>
      </c>
      <c r="G82" s="11"/>
      <c r="H82" s="3" t="s">
        <v>26</v>
      </c>
      <c r="I82" s="3">
        <f t="shared" si="9"/>
        <v>2</v>
      </c>
      <c r="J82" s="3" t="s">
        <v>30</v>
      </c>
      <c r="K82" s="3">
        <v>4</v>
      </c>
      <c r="L82" s="6" t="s">
        <v>192</v>
      </c>
      <c r="M82" s="3">
        <v>90</v>
      </c>
      <c r="N82" s="3">
        <f t="shared" si="10"/>
        <v>0.9</v>
      </c>
      <c r="O82" s="3">
        <v>84</v>
      </c>
      <c r="P82" s="3">
        <v>0.84</v>
      </c>
      <c r="Q82" s="17">
        <v>0.4161111111111111</v>
      </c>
      <c r="R82" s="21">
        <v>0.31803156144331662</v>
      </c>
      <c r="S82" s="3">
        <v>7</v>
      </c>
      <c r="T82" s="3">
        <v>241.92</v>
      </c>
      <c r="U82" s="3">
        <v>327.48</v>
      </c>
      <c r="V82" s="26">
        <v>1.1865290732735401</v>
      </c>
      <c r="W82" s="18">
        <v>0.71048745391155799</v>
      </c>
      <c r="X82" s="18">
        <v>1.1421775161487899</v>
      </c>
      <c r="Y82" s="18">
        <v>0.140151400493633</v>
      </c>
      <c r="Z82" s="18">
        <v>1.0476367163634801</v>
      </c>
      <c r="AA82" s="18">
        <v>1.48810110105834</v>
      </c>
      <c r="AB82" s="18">
        <v>0.37737642643570402</v>
      </c>
      <c r="AC82" s="18">
        <v>1.0423535410150899</v>
      </c>
      <c r="AD82" s="18">
        <v>0.62159121621381397</v>
      </c>
      <c r="AE82" s="21">
        <v>-0.74122874758906498</v>
      </c>
      <c r="AF82" s="3">
        <v>4.1524400000000004</v>
      </c>
      <c r="AG82" s="3">
        <v>0.10979700000000001</v>
      </c>
      <c r="AH82" s="3">
        <v>2.3196400000000001</v>
      </c>
      <c r="AI82" s="3">
        <v>0.51905500000000004</v>
      </c>
      <c r="AJ82" s="3">
        <v>7.0533700000000005E-2</v>
      </c>
      <c r="AK82" s="3">
        <v>2.7999800000000001</v>
      </c>
      <c r="AL82" s="3">
        <v>0</v>
      </c>
      <c r="AM82" s="3">
        <v>0</v>
      </c>
      <c r="AN82" s="3">
        <v>-0.51515200000000005</v>
      </c>
      <c r="AO82" s="3">
        <v>0</v>
      </c>
      <c r="AP82" s="3">
        <v>0.11899999999999999</v>
      </c>
      <c r="AQ82" s="3">
        <v>0.39169300000000001</v>
      </c>
      <c r="AR82" s="3">
        <v>0</v>
      </c>
      <c r="AS82" s="3">
        <v>0</v>
      </c>
      <c r="AT82" s="3">
        <v>-0.43363499999999999</v>
      </c>
      <c r="AU82" s="3">
        <v>0</v>
      </c>
      <c r="AV82" s="3">
        <v>0.145898</v>
      </c>
      <c r="AW82" s="3">
        <v>-0.20500599999999999</v>
      </c>
      <c r="AX82" s="3">
        <v>0.12625700000000001</v>
      </c>
      <c r="AY82" s="3">
        <v>0.18187300000000001</v>
      </c>
      <c r="AZ82" s="21">
        <v>2.7300800000000001</v>
      </c>
      <c r="BA82" s="3">
        <v>85.56</v>
      </c>
      <c r="BB82" s="3">
        <v>4</v>
      </c>
    </row>
    <row r="83" spans="1:54" s="3" customFormat="1" ht="94.5" customHeight="1" x14ac:dyDescent="0.25">
      <c r="A83" s="2">
        <v>81</v>
      </c>
      <c r="B83" s="3">
        <v>2</v>
      </c>
      <c r="C83" s="2">
        <v>1</v>
      </c>
      <c r="D83" s="9">
        <v>68</v>
      </c>
      <c r="E83" s="3" t="s">
        <v>16</v>
      </c>
      <c r="F83" s="3">
        <f t="shared" ref="F83:F90" si="12">IF(E83="Happy", 1,2)</f>
        <v>1</v>
      </c>
      <c r="G83" s="11"/>
      <c r="H83" s="3" t="s">
        <v>26</v>
      </c>
      <c r="I83" s="3">
        <f t="shared" si="9"/>
        <v>2</v>
      </c>
      <c r="J83" s="3" t="s">
        <v>31</v>
      </c>
      <c r="K83" s="3">
        <v>5</v>
      </c>
      <c r="L83" s="6" t="s">
        <v>143</v>
      </c>
      <c r="M83" s="3">
        <v>90</v>
      </c>
      <c r="N83" s="3">
        <f t="shared" si="10"/>
        <v>0.9</v>
      </c>
      <c r="O83" s="3">
        <v>84</v>
      </c>
      <c r="P83" s="3">
        <v>0.84</v>
      </c>
      <c r="Q83" s="17">
        <v>0.69558333333333333</v>
      </c>
      <c r="R83" s="21">
        <v>0.28424998778461807</v>
      </c>
      <c r="S83" s="3">
        <v>9</v>
      </c>
      <c r="T83" s="3">
        <v>329.3</v>
      </c>
      <c r="U83" s="3">
        <v>373.36</v>
      </c>
      <c r="V83" s="26">
        <v>1.5541053485224501</v>
      </c>
      <c r="W83" s="18">
        <v>0.695184600748318</v>
      </c>
      <c r="X83" s="18">
        <v>1.2483322625823901</v>
      </c>
      <c r="Y83" s="18">
        <v>1.9059819308683099</v>
      </c>
      <c r="Z83" s="18">
        <v>1.26309340017149</v>
      </c>
      <c r="AA83" s="18">
        <v>1.14849319567323</v>
      </c>
      <c r="AB83" s="18">
        <v>1.6329293803405001</v>
      </c>
      <c r="AC83" s="18">
        <v>1.05033636662616</v>
      </c>
      <c r="AD83" s="18">
        <v>1.6925944088893601</v>
      </c>
      <c r="AE83" s="21">
        <v>-2.3770400519631201</v>
      </c>
      <c r="AF83" s="3">
        <v>0</v>
      </c>
      <c r="AG83" s="3">
        <v>0.32680999999999999</v>
      </c>
      <c r="AH83" s="3">
        <v>-0.22720099999999999</v>
      </c>
      <c r="AI83" s="3">
        <v>1.00817</v>
      </c>
      <c r="AJ83" s="3">
        <v>4.6279800000000003E-2</v>
      </c>
      <c r="AK83" s="3">
        <v>2.7778399999999999</v>
      </c>
      <c r="AL83" s="3">
        <v>0</v>
      </c>
      <c r="AM83" s="3">
        <v>0</v>
      </c>
      <c r="AN83" s="3">
        <v>-0.51515200000000005</v>
      </c>
      <c r="AO83" s="3">
        <v>0</v>
      </c>
      <c r="AP83" s="3">
        <v>1.7002699999999999E-2</v>
      </c>
      <c r="AQ83" s="3">
        <v>-0.40168300000000001</v>
      </c>
      <c r="AR83" s="3">
        <v>0</v>
      </c>
      <c r="AS83" s="3">
        <v>0</v>
      </c>
      <c r="AT83" s="3">
        <v>-0.43363499999999999</v>
      </c>
      <c r="AU83" s="3">
        <v>0</v>
      </c>
      <c r="AV83" s="3">
        <v>0</v>
      </c>
      <c r="AW83" s="3">
        <v>-0.84520700000000004</v>
      </c>
      <c r="AX83" s="3">
        <v>0</v>
      </c>
      <c r="AY83" s="3">
        <v>0</v>
      </c>
      <c r="AZ83" s="21">
        <v>-0.58706100000000006</v>
      </c>
      <c r="BA83" s="3">
        <v>44.06</v>
      </c>
      <c r="BB83" s="3">
        <v>5</v>
      </c>
    </row>
    <row r="84" spans="1:54" s="3" customFormat="1" ht="141.75" customHeight="1" x14ac:dyDescent="0.25">
      <c r="A84" s="2">
        <v>82</v>
      </c>
      <c r="B84" s="3">
        <v>2</v>
      </c>
      <c r="C84" s="2">
        <v>1</v>
      </c>
      <c r="D84" s="9">
        <v>68</v>
      </c>
      <c r="E84" s="3" t="s">
        <v>16</v>
      </c>
      <c r="F84" s="3">
        <f t="shared" si="12"/>
        <v>1</v>
      </c>
      <c r="G84" s="11" t="s">
        <v>38</v>
      </c>
      <c r="H84" s="3" t="s">
        <v>38</v>
      </c>
      <c r="I84" s="3">
        <f t="shared" si="9"/>
        <v>3</v>
      </c>
      <c r="J84" s="3" t="s">
        <v>39</v>
      </c>
      <c r="K84" s="3">
        <v>1</v>
      </c>
      <c r="L84" s="6" t="s">
        <v>193</v>
      </c>
      <c r="M84" s="3">
        <v>68</v>
      </c>
      <c r="N84" s="3">
        <f t="shared" si="10"/>
        <v>0.68</v>
      </c>
      <c r="O84" s="3">
        <v>72</v>
      </c>
      <c r="P84" s="3">
        <v>0.72</v>
      </c>
      <c r="Q84" s="17">
        <v>5.5530303030303027E-2</v>
      </c>
      <c r="R84" s="21">
        <v>0.19051941350892121</v>
      </c>
      <c r="S84" s="3">
        <v>2</v>
      </c>
      <c r="T84" s="3">
        <v>51.94</v>
      </c>
      <c r="U84" s="3">
        <v>145.1</v>
      </c>
      <c r="V84" s="26">
        <v>0.67640012266973903</v>
      </c>
      <c r="W84" s="18">
        <v>1.8507551320334999E-2</v>
      </c>
      <c r="X84" s="18">
        <v>1.7954487884613901</v>
      </c>
      <c r="Y84" s="18">
        <v>0.31966379197685901</v>
      </c>
      <c r="Z84" s="18">
        <v>-0.41455715672281601</v>
      </c>
      <c r="AA84" s="18">
        <v>-0.75323084728421297</v>
      </c>
      <c r="AB84" s="18">
        <v>0.96848286272001005</v>
      </c>
      <c r="AC84" s="18">
        <v>-0.18221190772238199</v>
      </c>
      <c r="AD84" s="18">
        <v>-1.4914299163063501E-2</v>
      </c>
      <c r="AE84" s="21">
        <v>-0.268957265068965</v>
      </c>
      <c r="AF84" s="3">
        <v>4.3685600000000004</v>
      </c>
      <c r="AG84" s="3">
        <v>2.3166099999999998E-2</v>
      </c>
      <c r="AH84" s="3">
        <v>1.91828</v>
      </c>
      <c r="AI84" s="3">
        <v>1.2242299999999999</v>
      </c>
      <c r="AJ84" s="3">
        <v>0.106156</v>
      </c>
      <c r="AK84" s="3">
        <v>3.0045099999999998</v>
      </c>
      <c r="AL84" s="3">
        <v>0</v>
      </c>
      <c r="AM84" s="3">
        <v>0</v>
      </c>
      <c r="AN84" s="3">
        <v>-0.50279499999999999</v>
      </c>
      <c r="AO84" s="3">
        <v>0</v>
      </c>
      <c r="AP84" s="3">
        <v>4.6709899999999999E-3</v>
      </c>
      <c r="AQ84" s="3">
        <v>-0.37456800000000001</v>
      </c>
      <c r="AR84" s="3">
        <v>0</v>
      </c>
      <c r="AS84" s="3">
        <v>0</v>
      </c>
      <c r="AT84" s="3">
        <v>-0.34699400000000002</v>
      </c>
      <c r="AU84" s="3">
        <v>0</v>
      </c>
      <c r="AV84" s="3">
        <v>5.5938300000000003E-2</v>
      </c>
      <c r="AW84" s="3">
        <v>-0.66003400000000001</v>
      </c>
      <c r="AX84" s="3">
        <v>0.24484500000000001</v>
      </c>
      <c r="AY84" s="3">
        <v>0.26278600000000002</v>
      </c>
      <c r="AZ84" s="21">
        <v>4.4612699999999998</v>
      </c>
      <c r="BA84" s="3">
        <v>93.155000000000001</v>
      </c>
      <c r="BB84" s="3">
        <v>1</v>
      </c>
    </row>
    <row r="85" spans="1:54" s="3" customFormat="1" ht="236.25" customHeight="1" x14ac:dyDescent="0.25">
      <c r="A85" s="2">
        <v>83</v>
      </c>
      <c r="B85" s="3">
        <v>2</v>
      </c>
      <c r="C85" s="2">
        <v>1</v>
      </c>
      <c r="D85" s="9">
        <v>68</v>
      </c>
      <c r="E85" s="3" t="s">
        <v>16</v>
      </c>
      <c r="F85" s="3">
        <f t="shared" si="12"/>
        <v>1</v>
      </c>
      <c r="G85" s="11"/>
      <c r="H85" s="3" t="s">
        <v>38</v>
      </c>
      <c r="I85" s="3">
        <f t="shared" si="9"/>
        <v>3</v>
      </c>
      <c r="J85" s="3" t="s">
        <v>40</v>
      </c>
      <c r="K85" s="3">
        <v>2</v>
      </c>
      <c r="L85" s="6" t="s">
        <v>194</v>
      </c>
      <c r="M85" s="3">
        <v>68</v>
      </c>
      <c r="N85" s="3">
        <f t="shared" si="10"/>
        <v>0.68</v>
      </c>
      <c r="O85" s="3">
        <v>72</v>
      </c>
      <c r="P85" s="3">
        <v>0.72</v>
      </c>
      <c r="Q85" s="17">
        <v>6.4206349206349211E-2</v>
      </c>
      <c r="R85" s="21">
        <v>0.21278807806585551</v>
      </c>
      <c r="S85" s="3">
        <v>4</v>
      </c>
      <c r="T85" s="3">
        <v>151.16999999999999</v>
      </c>
      <c r="U85" s="3">
        <v>287.37</v>
      </c>
      <c r="V85" s="26">
        <v>-0.51025709460364799</v>
      </c>
      <c r="W85" s="18">
        <v>-0.91940902543070502</v>
      </c>
      <c r="X85" s="18">
        <v>-0.42383934963458397</v>
      </c>
      <c r="Y85" s="18">
        <v>0.248871446204325</v>
      </c>
      <c r="Z85" s="18">
        <v>-0.56741493915417895</v>
      </c>
      <c r="AA85" s="18">
        <v>-0.62536103446248903</v>
      </c>
      <c r="AB85" s="18">
        <v>1.2327264448100099</v>
      </c>
      <c r="AC85" s="18">
        <v>0.70920361884662098</v>
      </c>
      <c r="AD85" s="18">
        <v>-6.9161928314501603E-2</v>
      </c>
      <c r="AE85" s="21">
        <v>6.2394500892716601E-2</v>
      </c>
      <c r="AF85" s="3">
        <v>10.1248</v>
      </c>
      <c r="AG85" s="3">
        <v>0.167571</v>
      </c>
      <c r="AH85" s="3">
        <v>2.2762600000000002</v>
      </c>
      <c r="AI85" s="3">
        <v>0</v>
      </c>
      <c r="AJ85" s="3">
        <v>0.31414399999999998</v>
      </c>
      <c r="AK85" s="3">
        <v>-0.17577400000000001</v>
      </c>
      <c r="AL85" s="3">
        <v>0</v>
      </c>
      <c r="AM85" s="3">
        <v>0</v>
      </c>
      <c r="AN85" s="3">
        <v>-0.50279499999999999</v>
      </c>
      <c r="AO85" s="3">
        <v>0.114554</v>
      </c>
      <c r="AP85" s="3">
        <v>9.8436499999999996E-2</v>
      </c>
      <c r="AQ85" s="3">
        <v>7.7114099999999999</v>
      </c>
      <c r="AR85" s="3">
        <v>0</v>
      </c>
      <c r="AS85" s="3">
        <v>4.38529E-3</v>
      </c>
      <c r="AT85" s="3">
        <v>-0.33262399999999998</v>
      </c>
      <c r="AU85" s="3">
        <v>1.0309900000000001</v>
      </c>
      <c r="AV85" s="3">
        <v>0.33955600000000002</v>
      </c>
      <c r="AW85" s="3">
        <v>4.1052</v>
      </c>
      <c r="AX85" s="3">
        <v>1.5068299999999999</v>
      </c>
      <c r="AY85" s="3">
        <v>0.28582400000000002</v>
      </c>
      <c r="AZ85" s="21">
        <v>3.6417600000000001</v>
      </c>
      <c r="BA85" s="3">
        <v>136.19999999999999</v>
      </c>
      <c r="BB85" s="3">
        <v>2</v>
      </c>
    </row>
    <row r="86" spans="1:54" s="3" customFormat="1" ht="78.75" customHeight="1" x14ac:dyDescent="0.25">
      <c r="A86" s="2">
        <v>84</v>
      </c>
      <c r="B86" s="3">
        <v>2</v>
      </c>
      <c r="C86" s="2">
        <v>1</v>
      </c>
      <c r="D86" s="9">
        <v>68</v>
      </c>
      <c r="E86" s="3" t="s">
        <v>16</v>
      </c>
      <c r="F86" s="3">
        <f t="shared" si="12"/>
        <v>1</v>
      </c>
      <c r="G86" s="11"/>
      <c r="H86" s="3" t="s">
        <v>38</v>
      </c>
      <c r="I86" s="3">
        <f t="shared" si="9"/>
        <v>3</v>
      </c>
      <c r="J86" s="3" t="s">
        <v>41</v>
      </c>
      <c r="K86" s="3">
        <v>3</v>
      </c>
      <c r="L86" s="6" t="s">
        <v>188</v>
      </c>
      <c r="M86" s="3">
        <v>68</v>
      </c>
      <c r="N86" s="3">
        <f t="shared" si="10"/>
        <v>0.68</v>
      </c>
      <c r="O86" s="3">
        <v>72</v>
      </c>
      <c r="P86" s="3">
        <v>0.72</v>
      </c>
      <c r="Q86" s="17">
        <v>-0.13752525252525249</v>
      </c>
      <c r="R86" s="21">
        <v>0.50272307917710779</v>
      </c>
      <c r="S86" s="3">
        <v>6</v>
      </c>
      <c r="T86" s="3">
        <v>296.92</v>
      </c>
      <c r="U86" s="3">
        <v>343.18</v>
      </c>
      <c r="V86" s="26">
        <v>2.5733709317811102</v>
      </c>
      <c r="W86" s="18">
        <v>-1.06442245596549</v>
      </c>
      <c r="X86" s="18">
        <v>1.7378480642554699</v>
      </c>
      <c r="Y86" s="18">
        <v>1.4317726670408</v>
      </c>
      <c r="Z86" s="18">
        <v>1.1092165658572499</v>
      </c>
      <c r="AA86" s="18">
        <v>0.27929320595915602</v>
      </c>
      <c r="AB86" s="18">
        <v>0.74815805026737903</v>
      </c>
      <c r="AC86" s="18">
        <v>-1.4536099333781101</v>
      </c>
      <c r="AD86" s="18">
        <v>-1.02702006590276</v>
      </c>
      <c r="AE86" s="21">
        <v>0.79174925010722497</v>
      </c>
      <c r="AF86" s="3">
        <v>0</v>
      </c>
      <c r="AG86" s="3">
        <v>0.20919499999999999</v>
      </c>
      <c r="AH86" s="3">
        <v>-0.43473600000000001</v>
      </c>
      <c r="AI86" s="3">
        <v>5.7093400000000001</v>
      </c>
      <c r="AJ86" s="3">
        <v>4.3342499999999999E-2</v>
      </c>
      <c r="AK86" s="3">
        <v>2.4165899999999998</v>
      </c>
      <c r="AL86" s="3">
        <v>0</v>
      </c>
      <c r="AM86" s="3">
        <v>9.8043400000000003E-2</v>
      </c>
      <c r="AN86" s="3">
        <v>3.61476</v>
      </c>
      <c r="AO86" s="3">
        <v>0</v>
      </c>
      <c r="AP86" s="3">
        <v>7.8876000000000002E-2</v>
      </c>
      <c r="AQ86" s="3">
        <v>2.5744699999999998</v>
      </c>
      <c r="AR86" s="3">
        <v>0</v>
      </c>
      <c r="AS86" s="3">
        <v>1.90863E-2</v>
      </c>
      <c r="AT86" s="3">
        <v>-0.175761</v>
      </c>
      <c r="AU86" s="3">
        <v>0</v>
      </c>
      <c r="AV86" s="3">
        <v>0.16097900000000001</v>
      </c>
      <c r="AW86" s="3">
        <v>1.4103699999999999</v>
      </c>
      <c r="AX86" s="3">
        <v>0</v>
      </c>
      <c r="AY86" s="3">
        <v>6.6062700000000002E-2</v>
      </c>
      <c r="AZ86" s="21">
        <v>-0.20177800000000001</v>
      </c>
      <c r="BA86" s="3">
        <v>46.26</v>
      </c>
      <c r="BB86" s="3">
        <v>3</v>
      </c>
    </row>
    <row r="87" spans="1:54" s="3" customFormat="1" ht="157.5" customHeight="1" x14ac:dyDescent="0.25">
      <c r="A87" s="2">
        <v>85</v>
      </c>
      <c r="B87" s="3">
        <v>2</v>
      </c>
      <c r="C87" s="2">
        <v>1</v>
      </c>
      <c r="D87" s="9">
        <v>68</v>
      </c>
      <c r="E87" s="3" t="s">
        <v>16</v>
      </c>
      <c r="F87" s="3">
        <f t="shared" si="12"/>
        <v>1</v>
      </c>
      <c r="G87" s="11"/>
      <c r="H87" s="3" t="s">
        <v>38</v>
      </c>
      <c r="I87" s="3">
        <f t="shared" si="9"/>
        <v>3</v>
      </c>
      <c r="J87" s="3" t="s">
        <v>42</v>
      </c>
      <c r="K87" s="3">
        <v>4</v>
      </c>
      <c r="L87" s="6" t="s">
        <v>195</v>
      </c>
      <c r="M87" s="3">
        <v>68</v>
      </c>
      <c r="N87" s="3">
        <f t="shared" si="10"/>
        <v>0.68</v>
      </c>
      <c r="O87" s="3">
        <v>72</v>
      </c>
      <c r="P87" s="3">
        <v>0.72</v>
      </c>
      <c r="Q87" s="17">
        <v>-2.6884920634920552E-3</v>
      </c>
      <c r="R87" s="21">
        <v>0.56151357870924312</v>
      </c>
      <c r="S87" s="3">
        <v>8</v>
      </c>
      <c r="T87" s="3">
        <v>345.44</v>
      </c>
      <c r="U87" s="3">
        <v>427.66</v>
      </c>
      <c r="V87" s="26">
        <v>1.2884897425288999</v>
      </c>
      <c r="W87" s="18">
        <v>0.49651848279498501</v>
      </c>
      <c r="X87" s="18">
        <v>1.5621997382063799</v>
      </c>
      <c r="Y87" s="18">
        <v>0.55649718884934496</v>
      </c>
      <c r="Z87" s="18">
        <v>1.31899567488925</v>
      </c>
      <c r="AA87" s="18">
        <v>1.2662420387542399</v>
      </c>
      <c r="AB87" s="18">
        <v>1.0817214102316099</v>
      </c>
      <c r="AC87" s="18">
        <v>1.09663675517034</v>
      </c>
      <c r="AD87" s="18">
        <v>0.72672828795017297</v>
      </c>
      <c r="AE87" s="21">
        <v>-0.56983990312612498</v>
      </c>
      <c r="AF87" s="3">
        <v>6.2773700000000003</v>
      </c>
      <c r="AG87" s="3">
        <v>0.238953</v>
      </c>
      <c r="AH87" s="3">
        <v>2.7484899999999999</v>
      </c>
      <c r="AI87" s="3">
        <v>0</v>
      </c>
      <c r="AJ87" s="3">
        <v>0.180731</v>
      </c>
      <c r="AK87" s="3">
        <v>-0.75773100000000004</v>
      </c>
      <c r="AL87" s="3">
        <v>0</v>
      </c>
      <c r="AM87" s="3">
        <v>0</v>
      </c>
      <c r="AN87" s="3">
        <v>-0.50279499999999999</v>
      </c>
      <c r="AO87" s="3">
        <v>0.58394199999999996</v>
      </c>
      <c r="AP87" s="3">
        <v>0.33127699999999999</v>
      </c>
      <c r="AQ87" s="3">
        <v>10.8543</v>
      </c>
      <c r="AR87" s="3">
        <v>0</v>
      </c>
      <c r="AS87" s="3">
        <v>1.4498E-2</v>
      </c>
      <c r="AT87" s="3">
        <v>-0.32987</v>
      </c>
      <c r="AU87" s="3">
        <v>2.36496</v>
      </c>
      <c r="AV87" s="3">
        <v>0.28407500000000002</v>
      </c>
      <c r="AW87" s="3">
        <v>4.12873</v>
      </c>
      <c r="AX87" s="3">
        <v>1.79562</v>
      </c>
      <c r="AY87" s="3">
        <v>0.10438699999999999</v>
      </c>
      <c r="AZ87" s="21">
        <v>2.9717099999999999</v>
      </c>
      <c r="BA87" s="3">
        <v>82.22</v>
      </c>
      <c r="BB87" s="3">
        <v>4</v>
      </c>
    </row>
    <row r="88" spans="1:54" s="3" customFormat="1" ht="63" customHeight="1" x14ac:dyDescent="0.25">
      <c r="A88" s="2">
        <v>86</v>
      </c>
      <c r="B88" s="3">
        <v>2</v>
      </c>
      <c r="C88" s="2">
        <v>1</v>
      </c>
      <c r="D88" s="9">
        <v>68</v>
      </c>
      <c r="E88" s="3" t="s">
        <v>16</v>
      </c>
      <c r="F88" s="3">
        <f t="shared" si="12"/>
        <v>1</v>
      </c>
      <c r="G88" s="11"/>
      <c r="H88" s="3" t="s">
        <v>38</v>
      </c>
      <c r="I88" s="3">
        <f t="shared" si="9"/>
        <v>3</v>
      </c>
      <c r="J88" s="3" t="s">
        <v>43</v>
      </c>
      <c r="K88" s="3">
        <v>5</v>
      </c>
      <c r="L88" s="6" t="s">
        <v>154</v>
      </c>
      <c r="M88" s="3">
        <v>68</v>
      </c>
      <c r="N88" s="3">
        <f t="shared" si="10"/>
        <v>0.68</v>
      </c>
      <c r="O88" s="3">
        <v>72</v>
      </c>
      <c r="P88" s="3">
        <v>0.72</v>
      </c>
      <c r="Q88" s="17">
        <v>0.60395833333333337</v>
      </c>
      <c r="R88" s="21">
        <v>0.17875473478577661</v>
      </c>
      <c r="S88" s="3">
        <v>10</v>
      </c>
      <c r="T88" s="3">
        <v>444.84</v>
      </c>
      <c r="U88" s="3">
        <v>484.01</v>
      </c>
      <c r="V88" s="26">
        <v>-1.4631304050898799</v>
      </c>
      <c r="W88" s="18">
        <v>-1.8154887710965999</v>
      </c>
      <c r="X88" s="18">
        <v>-1.2659280547461</v>
      </c>
      <c r="Y88" s="18">
        <v>0.46170054192405502</v>
      </c>
      <c r="Z88" s="18">
        <v>0.91836270607866699</v>
      </c>
      <c r="AA88" s="18">
        <v>1.1951175410336601</v>
      </c>
      <c r="AB88" s="18">
        <v>1.9205638189363901</v>
      </c>
      <c r="AC88" s="18">
        <v>-0.20669257292964999</v>
      </c>
      <c r="AD88" s="18">
        <v>-1.0017045056320899</v>
      </c>
      <c r="AE88" s="21">
        <v>0.37660738240810498</v>
      </c>
      <c r="AF88" s="3">
        <v>17.190999999999999</v>
      </c>
      <c r="AG88" s="3">
        <v>0.211533</v>
      </c>
      <c r="AH88" s="3">
        <v>2.53843</v>
      </c>
      <c r="AI88" s="3">
        <v>0</v>
      </c>
      <c r="AJ88" s="3">
        <v>0.15857399999999999</v>
      </c>
      <c r="AK88" s="3">
        <v>1.1300300000000001</v>
      </c>
      <c r="AL88" s="3">
        <v>0</v>
      </c>
      <c r="AM88" s="3">
        <v>0</v>
      </c>
      <c r="AN88" s="3">
        <v>-0.50279499999999999</v>
      </c>
      <c r="AO88" s="3">
        <v>0</v>
      </c>
      <c r="AP88" s="3">
        <v>0.179397</v>
      </c>
      <c r="AQ88" s="3">
        <v>0.94773600000000002</v>
      </c>
      <c r="AR88" s="3">
        <v>0</v>
      </c>
      <c r="AS88" s="3">
        <v>0.114022</v>
      </c>
      <c r="AT88" s="3">
        <v>0.66324799999999995</v>
      </c>
      <c r="AU88" s="3">
        <v>1.6853899999999999</v>
      </c>
      <c r="AV88" s="3">
        <v>8.6443800000000001E-2</v>
      </c>
      <c r="AW88" s="3">
        <v>3.0329700000000002</v>
      </c>
      <c r="AX88" s="3">
        <v>0</v>
      </c>
      <c r="AY88" s="3">
        <v>0.107305</v>
      </c>
      <c r="AZ88" s="21">
        <v>-0.36604500000000001</v>
      </c>
      <c r="BA88" s="3">
        <v>39.173000000000002</v>
      </c>
      <c r="BB88" s="3">
        <v>5</v>
      </c>
    </row>
    <row r="89" spans="1:54" s="3" customFormat="1" ht="141.75" customHeight="1" x14ac:dyDescent="0.25">
      <c r="A89" s="2">
        <v>87</v>
      </c>
      <c r="B89" s="3">
        <v>2</v>
      </c>
      <c r="C89" s="2">
        <v>1</v>
      </c>
      <c r="D89" s="9">
        <v>68</v>
      </c>
      <c r="E89" s="3" t="s">
        <v>16</v>
      </c>
      <c r="F89" s="3">
        <f t="shared" si="12"/>
        <v>1</v>
      </c>
      <c r="G89" s="11"/>
      <c r="H89" s="3" t="s">
        <v>38</v>
      </c>
      <c r="I89" s="3">
        <f t="shared" si="9"/>
        <v>3</v>
      </c>
      <c r="J89" s="3" t="s">
        <v>44</v>
      </c>
      <c r="K89" s="3">
        <v>6</v>
      </c>
      <c r="L89" s="6" t="s">
        <v>196</v>
      </c>
      <c r="M89" s="3">
        <v>68</v>
      </c>
      <c r="N89" s="3">
        <f t="shared" si="10"/>
        <v>0.68</v>
      </c>
      <c r="O89" s="3">
        <v>72</v>
      </c>
      <c r="P89" s="3">
        <v>0.72</v>
      </c>
      <c r="Q89" s="17">
        <v>0.22980555555555551</v>
      </c>
      <c r="R89" s="21">
        <v>0.2721868174255449</v>
      </c>
      <c r="S89" s="3">
        <v>12</v>
      </c>
      <c r="T89" s="3">
        <v>492.59</v>
      </c>
      <c r="U89" s="3">
        <v>558.07000000000005</v>
      </c>
      <c r="V89" s="26">
        <v>-0.56326858003309899</v>
      </c>
      <c r="W89" s="18">
        <v>-1.6901351570441301</v>
      </c>
      <c r="X89" s="18">
        <v>-0.80170010042537898</v>
      </c>
      <c r="Y89" s="18">
        <v>1.0969330085879501</v>
      </c>
      <c r="Z89" s="18">
        <v>1.9377057466352401</v>
      </c>
      <c r="AA89" s="18">
        <v>2.0445692971073202</v>
      </c>
      <c r="AB89" s="18">
        <v>0.53715303220381405</v>
      </c>
      <c r="AC89" s="18">
        <v>-1.6244424014549199</v>
      </c>
      <c r="AD89" s="18">
        <v>-0.88623455215259594</v>
      </c>
      <c r="AE89" s="21">
        <v>-1.19064838418077</v>
      </c>
      <c r="AF89" s="3">
        <v>2.1814800000000001</v>
      </c>
      <c r="AG89" s="3">
        <v>0.30613899999999999</v>
      </c>
      <c r="AH89" s="3">
        <v>2.7976800000000002</v>
      </c>
      <c r="AI89" s="3">
        <v>0</v>
      </c>
      <c r="AJ89" s="3">
        <v>0.20446700000000001</v>
      </c>
      <c r="AK89" s="3">
        <v>-0.31900600000000001</v>
      </c>
      <c r="AL89" s="3">
        <v>0</v>
      </c>
      <c r="AM89" s="3">
        <v>0</v>
      </c>
      <c r="AN89" s="3">
        <v>-0.50279499999999999</v>
      </c>
      <c r="AO89" s="3">
        <v>0</v>
      </c>
      <c r="AP89" s="3">
        <v>6.2915299999999993E-2</v>
      </c>
      <c r="AQ89" s="3">
        <v>-0.24885499999999999</v>
      </c>
      <c r="AR89" s="3">
        <v>0</v>
      </c>
      <c r="AS89" s="3">
        <v>7.2934700000000005E-2</v>
      </c>
      <c r="AT89" s="3">
        <v>-0.17163100000000001</v>
      </c>
      <c r="AU89" s="3">
        <v>0.84326299999999998</v>
      </c>
      <c r="AV89" s="3">
        <v>0.23163900000000001</v>
      </c>
      <c r="AW89" s="3">
        <v>3.7182900000000001</v>
      </c>
      <c r="AX89" s="3">
        <v>0.10999100000000001</v>
      </c>
      <c r="AY89" s="3">
        <v>0.36724699999999999</v>
      </c>
      <c r="AZ89" s="21">
        <v>4.31595</v>
      </c>
      <c r="BA89" s="3">
        <v>65.478999999999999</v>
      </c>
      <c r="BB89" s="3">
        <v>6</v>
      </c>
    </row>
    <row r="90" spans="1:54" s="3" customFormat="1" ht="141.75" customHeight="1" x14ac:dyDescent="0.25">
      <c r="A90" s="2">
        <v>88</v>
      </c>
      <c r="B90" s="3">
        <v>2</v>
      </c>
      <c r="C90" s="2">
        <v>1</v>
      </c>
      <c r="D90" s="9">
        <v>68</v>
      </c>
      <c r="E90" s="3" t="s">
        <v>16</v>
      </c>
      <c r="F90" s="3">
        <f t="shared" si="12"/>
        <v>1</v>
      </c>
      <c r="G90" s="11"/>
      <c r="H90" s="3" t="s">
        <v>38</v>
      </c>
      <c r="I90" s="3">
        <f t="shared" si="9"/>
        <v>3</v>
      </c>
      <c r="J90" s="3" t="s">
        <v>45</v>
      </c>
      <c r="K90" s="3">
        <v>7</v>
      </c>
      <c r="L90" s="6" t="s">
        <v>197</v>
      </c>
      <c r="M90" s="3">
        <v>68</v>
      </c>
      <c r="N90" s="3">
        <f t="shared" si="10"/>
        <v>0.68</v>
      </c>
      <c r="O90" s="3">
        <v>72</v>
      </c>
      <c r="P90" s="3">
        <v>0.72</v>
      </c>
      <c r="Q90" s="17">
        <v>0.18723958333333329</v>
      </c>
      <c r="R90" s="21">
        <v>6.5186406390634832E-2</v>
      </c>
      <c r="S90" s="3">
        <v>14</v>
      </c>
      <c r="T90" s="3">
        <v>561.48</v>
      </c>
      <c r="U90" s="3">
        <v>638.79</v>
      </c>
      <c r="V90" s="26">
        <v>0.38348026811191099</v>
      </c>
      <c r="W90" s="18">
        <v>-0.84636749469861605</v>
      </c>
      <c r="X90" s="18">
        <v>-0.50265069345985203</v>
      </c>
      <c r="Y90" s="18">
        <v>1.0820150813178699</v>
      </c>
      <c r="Z90" s="18">
        <v>1.20224144487977</v>
      </c>
      <c r="AA90" s="18">
        <v>1.06373007409474</v>
      </c>
      <c r="AB90" s="18">
        <v>0.163873947130624</v>
      </c>
      <c r="AC90" s="18">
        <v>0.21213967746426399</v>
      </c>
      <c r="AD90" s="18">
        <v>-0.27969439383079903</v>
      </c>
      <c r="AE90" s="21">
        <v>-1.028781142188</v>
      </c>
      <c r="AF90" s="3">
        <v>0.93143600000000004</v>
      </c>
      <c r="AG90" s="3">
        <v>0.28799999999999998</v>
      </c>
      <c r="AH90" s="3">
        <v>3.0569700000000002</v>
      </c>
      <c r="AI90" s="3">
        <v>0.55886199999999997</v>
      </c>
      <c r="AJ90" s="3">
        <v>8.8650699999999999E-2</v>
      </c>
      <c r="AK90" s="3">
        <v>2.5574599999999998</v>
      </c>
      <c r="AL90" s="3">
        <v>0</v>
      </c>
      <c r="AM90" s="3">
        <v>0</v>
      </c>
      <c r="AN90" s="3">
        <v>-0.50279499999999999</v>
      </c>
      <c r="AO90" s="3">
        <v>0</v>
      </c>
      <c r="AP90" s="3">
        <v>9.9630899999999994E-2</v>
      </c>
      <c r="AQ90" s="3">
        <v>0.44257200000000002</v>
      </c>
      <c r="AR90" s="3">
        <v>0</v>
      </c>
      <c r="AS90" s="3">
        <v>2.2820799999999999E-2</v>
      </c>
      <c r="AT90" s="3">
        <v>-0.28161399999999998</v>
      </c>
      <c r="AU90" s="3">
        <v>0</v>
      </c>
      <c r="AV90" s="3">
        <v>0</v>
      </c>
      <c r="AW90" s="3">
        <v>-0.777922</v>
      </c>
      <c r="AX90" s="3">
        <v>0</v>
      </c>
      <c r="AY90" s="3">
        <v>0</v>
      </c>
      <c r="AZ90" s="21">
        <v>-0.62139800000000001</v>
      </c>
      <c r="BA90" s="3">
        <v>77.31</v>
      </c>
      <c r="BB90" s="3">
        <v>7</v>
      </c>
    </row>
    <row r="91" spans="1:54" s="3" customFormat="1" ht="409.5" customHeight="1" x14ac:dyDescent="0.25">
      <c r="A91" s="2">
        <v>89</v>
      </c>
      <c r="B91" s="3">
        <v>2</v>
      </c>
      <c r="C91" s="2">
        <v>1</v>
      </c>
      <c r="D91" s="9">
        <v>68</v>
      </c>
      <c r="E91" s="3" t="s">
        <v>53</v>
      </c>
      <c r="F91" s="3">
        <f>IF(E92="Happy", 1,2)</f>
        <v>2</v>
      </c>
      <c r="G91" s="11" t="s">
        <v>54</v>
      </c>
      <c r="H91" s="3" t="s">
        <v>54</v>
      </c>
      <c r="I91" s="3">
        <f t="shared" si="9"/>
        <v>1</v>
      </c>
      <c r="J91" s="3" t="s">
        <v>55</v>
      </c>
      <c r="K91" s="3">
        <v>1</v>
      </c>
      <c r="L91" s="6" t="s">
        <v>198</v>
      </c>
      <c r="M91" s="3">
        <v>-61</v>
      </c>
      <c r="N91" s="3">
        <f t="shared" si="10"/>
        <v>-0.61</v>
      </c>
      <c r="O91" s="3">
        <v>-35</v>
      </c>
      <c r="P91" s="3">
        <v>-0.35</v>
      </c>
      <c r="Q91" s="17">
        <v>0.21848504890171561</v>
      </c>
      <c r="R91" s="21">
        <v>0.16016400357856261</v>
      </c>
      <c r="S91" s="3">
        <v>2</v>
      </c>
      <c r="T91" s="3">
        <v>28.96</v>
      </c>
      <c r="U91" s="3">
        <v>345.12</v>
      </c>
      <c r="V91" s="26">
        <v>0.48367337102069002</v>
      </c>
      <c r="W91" s="18">
        <v>1.60651728346741</v>
      </c>
      <c r="X91" s="18">
        <v>0.18871611664618901</v>
      </c>
      <c r="Y91" s="18">
        <v>-0.92295434378012298</v>
      </c>
      <c r="Z91" s="18">
        <v>-0.54659716497543098</v>
      </c>
      <c r="AA91" s="18">
        <v>-0.426027301154491</v>
      </c>
      <c r="AB91" s="18">
        <v>-0.83492780840871905</v>
      </c>
      <c r="AC91" s="18">
        <v>1.02692007816703</v>
      </c>
      <c r="AD91" s="18">
        <v>0.82644059677138904</v>
      </c>
      <c r="AE91" s="21">
        <v>-0.45367635299013298</v>
      </c>
      <c r="AF91" s="3">
        <v>3.1808700000000001</v>
      </c>
      <c r="AG91" s="3">
        <v>0.23608499999999999</v>
      </c>
      <c r="AH91" s="3">
        <v>3.0808900000000001</v>
      </c>
      <c r="AI91" s="3">
        <v>0.30366300000000002</v>
      </c>
      <c r="AJ91" s="3">
        <v>4.3204899999999997E-2</v>
      </c>
      <c r="AK91" s="3">
        <v>3.5842900000000002</v>
      </c>
      <c r="AL91" s="3">
        <v>0.106282</v>
      </c>
      <c r="AM91" s="3">
        <v>3.4200000000000001E-2</v>
      </c>
      <c r="AN91" s="3">
        <v>5.9714200000000002</v>
      </c>
      <c r="AO91" s="3">
        <v>9.4894699999999998E-2</v>
      </c>
      <c r="AP91" s="3">
        <v>0.108469</v>
      </c>
      <c r="AQ91" s="3">
        <v>6.3101599999999998</v>
      </c>
      <c r="AR91" s="3">
        <v>0</v>
      </c>
      <c r="AS91" s="3">
        <v>2.9939299999999999E-2</v>
      </c>
      <c r="AT91" s="3">
        <v>-0.14163999999999999</v>
      </c>
      <c r="AU91" s="3">
        <v>0.227747</v>
      </c>
      <c r="AV91" s="3">
        <v>0.19317000000000001</v>
      </c>
      <c r="AW91" s="3">
        <v>4.2174100000000001</v>
      </c>
      <c r="AX91" s="3">
        <v>1.0096799999999999</v>
      </c>
      <c r="AY91" s="3">
        <v>0.17308100000000001</v>
      </c>
      <c r="AZ91" s="21">
        <v>1.9601200000000001</v>
      </c>
      <c r="BA91" s="3">
        <v>316.16000000000003</v>
      </c>
      <c r="BB91" s="3">
        <v>1</v>
      </c>
    </row>
    <row r="92" spans="1:54" s="3" customFormat="1" ht="157.5" customHeight="1" x14ac:dyDescent="0.25">
      <c r="A92" s="2">
        <v>90</v>
      </c>
      <c r="B92" s="3">
        <v>2</v>
      </c>
      <c r="C92" s="2">
        <v>1</v>
      </c>
      <c r="D92" s="9">
        <v>68</v>
      </c>
      <c r="E92" s="3" t="s">
        <v>53</v>
      </c>
      <c r="F92" s="3">
        <f>IF(E93="Happy", 1,2)</f>
        <v>2</v>
      </c>
      <c r="G92" s="11"/>
      <c r="H92" s="3" t="s">
        <v>54</v>
      </c>
      <c r="I92" s="3">
        <f t="shared" si="9"/>
        <v>1</v>
      </c>
      <c r="J92" s="3" t="s">
        <v>56</v>
      </c>
      <c r="K92" s="3">
        <v>2</v>
      </c>
      <c r="L92" s="6" t="s">
        <v>199</v>
      </c>
      <c r="M92" s="3">
        <v>-61</v>
      </c>
      <c r="N92" s="3">
        <f t="shared" si="10"/>
        <v>-0.61</v>
      </c>
      <c r="O92" s="3">
        <v>-35</v>
      </c>
      <c r="P92" s="3">
        <v>-0.35</v>
      </c>
      <c r="Q92" s="17">
        <v>0.13310515873015871</v>
      </c>
      <c r="R92" s="21">
        <v>0.17844020740851099</v>
      </c>
      <c r="S92" s="3">
        <v>4</v>
      </c>
      <c r="T92" s="3">
        <v>360.91</v>
      </c>
      <c r="U92" s="3">
        <v>448.54</v>
      </c>
      <c r="V92" s="26">
        <v>0.97897957226194698</v>
      </c>
      <c r="W92" s="18">
        <v>0.581932077943765</v>
      </c>
      <c r="X92" s="18">
        <v>1.2151723162552199</v>
      </c>
      <c r="Y92" s="18">
        <v>9.6075706286593093E-2</v>
      </c>
      <c r="Z92" s="18">
        <v>1.20748228313456</v>
      </c>
      <c r="AA92" s="18">
        <v>0.70702760396464304</v>
      </c>
      <c r="AB92" s="18">
        <v>-0.29437973384287602</v>
      </c>
      <c r="AC92" s="18">
        <v>-0.40253789458779698</v>
      </c>
      <c r="AD92" s="18">
        <v>-0.162932830133417</v>
      </c>
      <c r="AE92" s="21">
        <v>0.24520926831985199</v>
      </c>
      <c r="AF92" s="3">
        <v>2.0274000000000001</v>
      </c>
      <c r="AG92" s="3">
        <v>0.26046000000000002</v>
      </c>
      <c r="AH92" s="3">
        <v>3.7672500000000002</v>
      </c>
      <c r="AI92" s="3">
        <v>0.20547899999999999</v>
      </c>
      <c r="AJ92" s="3">
        <v>9.4808100000000006E-2</v>
      </c>
      <c r="AK92" s="3">
        <v>4.1254</v>
      </c>
      <c r="AL92" s="3">
        <v>0</v>
      </c>
      <c r="AM92" s="3">
        <v>7.0047600000000002E-2</v>
      </c>
      <c r="AN92" s="3">
        <v>4.5053900000000002</v>
      </c>
      <c r="AO92" s="3">
        <v>0</v>
      </c>
      <c r="AP92" s="3">
        <v>8.2502500000000006E-2</v>
      </c>
      <c r="AQ92" s="3">
        <v>1.6568499999999999</v>
      </c>
      <c r="AR92" s="3">
        <v>0</v>
      </c>
      <c r="AS92" s="3">
        <v>0</v>
      </c>
      <c r="AT92" s="3">
        <v>-0.29619699999999999</v>
      </c>
      <c r="AU92" s="3">
        <v>0.78082200000000002</v>
      </c>
      <c r="AV92" s="3">
        <v>0.109747</v>
      </c>
      <c r="AW92" s="3">
        <v>3.4596900000000002</v>
      </c>
      <c r="AX92" s="3">
        <v>0.95890399999999998</v>
      </c>
      <c r="AY92" s="3">
        <v>0.15623100000000001</v>
      </c>
      <c r="AZ92" s="21">
        <v>2.0616099999999999</v>
      </c>
      <c r="BA92" s="3">
        <v>87.632999999999996</v>
      </c>
      <c r="BB92" s="3">
        <v>2</v>
      </c>
    </row>
    <row r="93" spans="1:54" s="3" customFormat="1" ht="78.75" customHeight="1" x14ac:dyDescent="0.25">
      <c r="A93" s="2">
        <v>91</v>
      </c>
      <c r="B93" s="3">
        <v>2</v>
      </c>
      <c r="C93" s="2">
        <v>1</v>
      </c>
      <c r="D93" s="9">
        <v>68</v>
      </c>
      <c r="E93" s="3" t="s">
        <v>53</v>
      </c>
      <c r="F93" s="3">
        <f t="shared" ref="F93:F100" si="13">IF(E93="Happy", 1,2)</f>
        <v>2</v>
      </c>
      <c r="G93" s="11"/>
      <c r="H93" s="3" t="s">
        <v>54</v>
      </c>
      <c r="I93" s="3">
        <f t="shared" si="9"/>
        <v>1</v>
      </c>
      <c r="J93" s="3" t="s">
        <v>57</v>
      </c>
      <c r="K93" s="3">
        <v>3</v>
      </c>
      <c r="L93" s="6" t="s">
        <v>190</v>
      </c>
      <c r="M93" s="3">
        <v>-61</v>
      </c>
      <c r="N93" s="3">
        <f t="shared" si="10"/>
        <v>-0.61</v>
      </c>
      <c r="O93" s="3">
        <v>-35</v>
      </c>
      <c r="P93" s="3">
        <v>-0.35</v>
      </c>
      <c r="Q93" s="17">
        <v>-8.6250000000000007E-2</v>
      </c>
      <c r="R93" s="21">
        <v>0.63514365719715549</v>
      </c>
      <c r="S93" s="3">
        <v>6</v>
      </c>
      <c r="T93" s="3">
        <v>457.18</v>
      </c>
      <c r="U93" s="3">
        <v>500.25</v>
      </c>
      <c r="V93" s="26">
        <v>0.94855882513922496</v>
      </c>
      <c r="W93" s="18">
        <v>1.0133071008967101</v>
      </c>
      <c r="X93" s="18">
        <v>1.21946413492154</v>
      </c>
      <c r="Y93" s="18">
        <v>4.5083518527066102E-2</v>
      </c>
      <c r="Z93" s="18">
        <v>1.31142557518789</v>
      </c>
      <c r="AA93" s="18">
        <v>1.0826760357435199</v>
      </c>
      <c r="AB93" s="18">
        <v>0.17215820880979399</v>
      </c>
      <c r="AC93" s="18">
        <v>-0.63776515592719996</v>
      </c>
      <c r="AD93" s="18">
        <v>-0.82604551599885701</v>
      </c>
      <c r="AE93" s="21">
        <v>-0.10709002307618901</v>
      </c>
      <c r="AF93" s="3">
        <v>0.27868100000000001</v>
      </c>
      <c r="AG93" s="3">
        <v>0.144006</v>
      </c>
      <c r="AH93" s="3">
        <v>2.8939499999999998</v>
      </c>
      <c r="AI93" s="3">
        <v>0.167209</v>
      </c>
      <c r="AJ93" s="3">
        <v>7.1203900000000001E-2</v>
      </c>
      <c r="AK93" s="3">
        <v>3.7999499999999999</v>
      </c>
      <c r="AL93" s="3">
        <v>0</v>
      </c>
      <c r="AM93" s="3">
        <v>0</v>
      </c>
      <c r="AN93" s="3">
        <v>-0.463729</v>
      </c>
      <c r="AO93" s="3">
        <v>0</v>
      </c>
      <c r="AP93" s="3">
        <v>0.107083</v>
      </c>
      <c r="AQ93" s="3">
        <v>1.7088099999999999</v>
      </c>
      <c r="AR93" s="3">
        <v>0</v>
      </c>
      <c r="AS93" s="3">
        <v>0</v>
      </c>
      <c r="AT93" s="3">
        <v>-0.29619699999999999</v>
      </c>
      <c r="AU93" s="3">
        <v>0</v>
      </c>
      <c r="AV93" s="3">
        <v>2.2583200000000001E-2</v>
      </c>
      <c r="AW93" s="3">
        <v>-0.30772699999999997</v>
      </c>
      <c r="AX93" s="3">
        <v>2.5917300000000001</v>
      </c>
      <c r="AY93" s="3">
        <v>0.29474600000000001</v>
      </c>
      <c r="AZ93" s="21">
        <v>2.33033</v>
      </c>
      <c r="BA93" s="3">
        <v>43.073999999999998</v>
      </c>
      <c r="BB93" s="3">
        <v>3</v>
      </c>
    </row>
    <row r="94" spans="1:54" s="3" customFormat="1" ht="78.75" customHeight="1" x14ac:dyDescent="0.25">
      <c r="A94" s="2">
        <v>92</v>
      </c>
      <c r="B94" s="3">
        <v>2</v>
      </c>
      <c r="C94" s="2">
        <v>1</v>
      </c>
      <c r="D94" s="9">
        <v>68</v>
      </c>
      <c r="E94" s="3" t="s">
        <v>53</v>
      </c>
      <c r="F94" s="3">
        <f t="shared" si="13"/>
        <v>2</v>
      </c>
      <c r="G94" s="11" t="s">
        <v>76</v>
      </c>
      <c r="H94" s="3" t="s">
        <v>76</v>
      </c>
      <c r="I94" s="3">
        <f t="shared" si="9"/>
        <v>2</v>
      </c>
      <c r="J94" s="3" t="s">
        <v>77</v>
      </c>
      <c r="K94" s="3">
        <v>1</v>
      </c>
      <c r="L94" s="6" t="s">
        <v>200</v>
      </c>
      <c r="M94" s="3">
        <v>-66</v>
      </c>
      <c r="N94" s="3">
        <f t="shared" si="10"/>
        <v>-0.66</v>
      </c>
      <c r="O94" s="3">
        <v>-79</v>
      </c>
      <c r="P94" s="3">
        <v>-0.79</v>
      </c>
      <c r="Q94" s="17">
        <v>0.24118055555555551</v>
      </c>
      <c r="R94" s="21">
        <v>0.37895366931546431</v>
      </c>
      <c r="S94" s="3">
        <v>2</v>
      </c>
      <c r="T94" s="3">
        <v>34.44</v>
      </c>
      <c r="U94" s="3">
        <v>93.76</v>
      </c>
      <c r="V94" s="26">
        <v>-1.30860789447569</v>
      </c>
      <c r="W94" s="18">
        <v>0.53508937410904001</v>
      </c>
      <c r="X94" s="18">
        <v>-0.84241590645720599</v>
      </c>
      <c r="Y94" s="18">
        <v>-1.3641181384124199</v>
      </c>
      <c r="Z94" s="18">
        <v>-0.93107088250041303</v>
      </c>
      <c r="AA94" s="18">
        <v>-0.58910451176327905</v>
      </c>
      <c r="AB94" s="18">
        <v>-1.03728308266021</v>
      </c>
      <c r="AC94" s="18">
        <v>0.48462012498863799</v>
      </c>
      <c r="AD94" s="18">
        <v>0.91142854910864202</v>
      </c>
      <c r="AE94" s="21">
        <v>0.48705797106199999</v>
      </c>
      <c r="AF94" s="3">
        <v>3.6222599999999998</v>
      </c>
      <c r="AG94" s="3">
        <v>0.134524</v>
      </c>
      <c r="AH94" s="3">
        <v>3.2561599999999999</v>
      </c>
      <c r="AI94" s="3">
        <v>0</v>
      </c>
      <c r="AJ94" s="3">
        <v>6.2822500000000003E-2</v>
      </c>
      <c r="AK94" s="3">
        <v>-0.88086500000000001</v>
      </c>
      <c r="AL94" s="3">
        <v>0</v>
      </c>
      <c r="AM94" s="3">
        <v>0</v>
      </c>
      <c r="AN94" s="3">
        <v>-0.43888199999999999</v>
      </c>
      <c r="AO94" s="3">
        <v>0</v>
      </c>
      <c r="AP94" s="3">
        <v>0.16966600000000001</v>
      </c>
      <c r="AQ94" s="3">
        <v>1.22136</v>
      </c>
      <c r="AR94" s="3">
        <v>0</v>
      </c>
      <c r="AS94" s="3">
        <v>2.5625499999999999E-2</v>
      </c>
      <c r="AT94" s="3">
        <v>-0.23369400000000001</v>
      </c>
      <c r="AU94" s="3">
        <v>0</v>
      </c>
      <c r="AV94" s="3">
        <v>0.24443100000000001</v>
      </c>
      <c r="AW94" s="3">
        <v>-3.0086700000000001E-2</v>
      </c>
      <c r="AX94" s="3">
        <v>2.7723399999999998</v>
      </c>
      <c r="AY94" s="3">
        <v>0.10201300000000001</v>
      </c>
      <c r="AZ94" s="21">
        <v>1.9372100000000001</v>
      </c>
      <c r="BA94" s="3">
        <v>59.32</v>
      </c>
      <c r="BB94" s="3">
        <v>1</v>
      </c>
    </row>
    <row r="95" spans="1:54" s="3" customFormat="1" ht="299.25" customHeight="1" x14ac:dyDescent="0.25">
      <c r="A95" s="2">
        <v>93</v>
      </c>
      <c r="B95" s="3">
        <v>2</v>
      </c>
      <c r="C95" s="2">
        <v>1</v>
      </c>
      <c r="D95" s="9">
        <v>68</v>
      </c>
      <c r="E95" s="3" t="s">
        <v>53</v>
      </c>
      <c r="F95" s="3">
        <f t="shared" si="13"/>
        <v>2</v>
      </c>
      <c r="G95" s="11"/>
      <c r="H95" s="3" t="s">
        <v>76</v>
      </c>
      <c r="I95" s="3">
        <f t="shared" si="9"/>
        <v>2</v>
      </c>
      <c r="J95" s="3" t="s">
        <v>78</v>
      </c>
      <c r="K95" s="3">
        <v>2</v>
      </c>
      <c r="L95" s="6" t="s">
        <v>201</v>
      </c>
      <c r="M95" s="3">
        <v>-66</v>
      </c>
      <c r="N95" s="3">
        <f t="shared" si="10"/>
        <v>-0.66</v>
      </c>
      <c r="O95" s="3">
        <v>-79</v>
      </c>
      <c r="P95" s="3">
        <v>-0.79</v>
      </c>
      <c r="Q95" s="17">
        <v>1.2998316498316511E-2</v>
      </c>
      <c r="R95" s="21">
        <v>0.22552121511031081</v>
      </c>
      <c r="S95" s="3">
        <v>4</v>
      </c>
      <c r="T95" s="3">
        <v>108.17</v>
      </c>
      <c r="U95" s="3">
        <v>317.69</v>
      </c>
      <c r="V95" s="26">
        <v>-0.36558023863926697</v>
      </c>
      <c r="W95" s="18">
        <v>0.25615815121375701</v>
      </c>
      <c r="X95" s="18">
        <v>-9.14831709664614E-2</v>
      </c>
      <c r="Y95" s="18">
        <v>-0.143831687720329</v>
      </c>
      <c r="Z95" s="18">
        <v>0.137477806115019</v>
      </c>
      <c r="AA95" s="18">
        <v>7.4991557625993105E-2</v>
      </c>
      <c r="AB95" s="18">
        <v>-0.73064357315328299</v>
      </c>
      <c r="AC95" s="18">
        <v>7.2706323457648395E-2</v>
      </c>
      <c r="AD95" s="18">
        <v>2.8346361635489199</v>
      </c>
      <c r="AE95" s="21">
        <v>-1.1525619743001201</v>
      </c>
      <c r="AF95" s="3">
        <v>3.20764</v>
      </c>
      <c r="AG95" s="3">
        <v>0.13145699999999999</v>
      </c>
      <c r="AH95" s="3">
        <v>2.9354100000000001</v>
      </c>
      <c r="AI95" s="3">
        <v>3.4367500000000002E-2</v>
      </c>
      <c r="AJ95" s="3">
        <v>0.14569399999999999</v>
      </c>
      <c r="AK95" s="3">
        <v>3.6838000000000002</v>
      </c>
      <c r="AL95" s="3">
        <v>0.234845</v>
      </c>
      <c r="AM95" s="3">
        <v>0.12542500000000001</v>
      </c>
      <c r="AN95" s="3">
        <v>5.4653900000000002</v>
      </c>
      <c r="AO95" s="3">
        <v>0.77899799999999997</v>
      </c>
      <c r="AP95" s="3">
        <v>8.1486199999999995E-2</v>
      </c>
      <c r="AQ95" s="3">
        <v>4.1211900000000004</v>
      </c>
      <c r="AR95" s="3">
        <v>0</v>
      </c>
      <c r="AS95" s="3">
        <v>0</v>
      </c>
      <c r="AT95" s="3">
        <v>-0.37458799999999998</v>
      </c>
      <c r="AU95" s="3">
        <v>1.0081100000000001</v>
      </c>
      <c r="AV95" s="3">
        <v>0.15770100000000001</v>
      </c>
      <c r="AW95" s="3">
        <v>3.1874099999999999</v>
      </c>
      <c r="AX95" s="3">
        <v>3.78043</v>
      </c>
      <c r="AY95" s="3">
        <v>0.20913999999999999</v>
      </c>
      <c r="AZ95" s="21">
        <v>2.2585700000000002</v>
      </c>
      <c r="BA95" s="3">
        <v>209.52</v>
      </c>
      <c r="BB95" s="3">
        <v>2</v>
      </c>
    </row>
    <row r="96" spans="1:54" ht="362.25" customHeight="1" x14ac:dyDescent="0.25">
      <c r="A96" s="2">
        <v>94</v>
      </c>
      <c r="B96" s="3">
        <v>2</v>
      </c>
      <c r="C96" s="2">
        <v>1</v>
      </c>
      <c r="D96" s="9">
        <v>68</v>
      </c>
      <c r="E96" s="3" t="s">
        <v>53</v>
      </c>
      <c r="F96" s="3">
        <f t="shared" si="13"/>
        <v>2</v>
      </c>
      <c r="G96" s="12"/>
      <c r="H96" s="3" t="s">
        <v>76</v>
      </c>
      <c r="I96" s="3">
        <f t="shared" si="9"/>
        <v>2</v>
      </c>
      <c r="J96" s="3" t="s">
        <v>79</v>
      </c>
      <c r="K96" s="3">
        <v>3</v>
      </c>
      <c r="L96" s="6" t="s">
        <v>202</v>
      </c>
      <c r="M96" s="3">
        <v>-66</v>
      </c>
      <c r="N96" s="3">
        <f t="shared" si="10"/>
        <v>-0.66</v>
      </c>
      <c r="O96" s="3">
        <v>-79</v>
      </c>
      <c r="P96" s="3">
        <v>-0.79</v>
      </c>
      <c r="Q96" s="17">
        <v>-3.5897435897435802E-3</v>
      </c>
      <c r="R96" s="21">
        <v>0.2088442026898305</v>
      </c>
      <c r="S96" s="3">
        <v>6</v>
      </c>
      <c r="T96" s="3">
        <v>336.11</v>
      </c>
      <c r="U96" s="3">
        <v>559.02</v>
      </c>
      <c r="V96" s="26">
        <v>1.37511599847929</v>
      </c>
      <c r="W96" s="18">
        <v>1.4323599755429901</v>
      </c>
      <c r="X96" s="18">
        <v>0.50641234629092402</v>
      </c>
      <c r="Y96" s="18">
        <v>0.94797976508826698</v>
      </c>
      <c r="Z96" s="18">
        <v>0.47842345035716499</v>
      </c>
      <c r="AA96" s="18">
        <v>0.181909728819833</v>
      </c>
      <c r="AB96" s="18">
        <v>-1.0844911914937101</v>
      </c>
      <c r="AC96" s="18">
        <v>0.11049169801669199</v>
      </c>
      <c r="AD96" s="18">
        <v>0.85201447908563799</v>
      </c>
      <c r="AE96" s="21">
        <v>-0.95641696341475502</v>
      </c>
      <c r="AF96" s="3">
        <v>0.99605200000000005</v>
      </c>
      <c r="AG96" s="3">
        <v>0.20605100000000001</v>
      </c>
      <c r="AH96" s="3">
        <v>3.2993199999999998</v>
      </c>
      <c r="AI96" s="3">
        <v>0</v>
      </c>
      <c r="AJ96" s="3">
        <v>5.4685200000000003E-2</v>
      </c>
      <c r="AK96" s="3">
        <v>0.154913</v>
      </c>
      <c r="AL96" s="3">
        <v>0.75376900000000002</v>
      </c>
      <c r="AM96" s="3">
        <v>6.1628700000000002E-2</v>
      </c>
      <c r="AN96" s="3">
        <v>5.4800800000000001</v>
      </c>
      <c r="AO96" s="3">
        <v>0.81299399999999999</v>
      </c>
      <c r="AP96" s="3">
        <v>0.20072400000000001</v>
      </c>
      <c r="AQ96" s="3">
        <v>4.7274599999999998</v>
      </c>
      <c r="AR96" s="3">
        <v>0</v>
      </c>
      <c r="AS96" s="3">
        <v>0</v>
      </c>
      <c r="AT96" s="3">
        <v>-0.37458799999999998</v>
      </c>
      <c r="AU96" s="3">
        <v>0.40918900000000002</v>
      </c>
      <c r="AV96" s="3">
        <v>0.35347699999999999</v>
      </c>
      <c r="AW96" s="3">
        <v>3.7601300000000002</v>
      </c>
      <c r="AX96" s="3">
        <v>1.33525</v>
      </c>
      <c r="AY96" s="3">
        <v>0.233626</v>
      </c>
      <c r="AZ96" s="21">
        <v>2.53857</v>
      </c>
      <c r="BA96" s="3">
        <v>222.91</v>
      </c>
      <c r="BB96" s="3">
        <v>3</v>
      </c>
    </row>
    <row r="97" spans="1:54" ht="31.5" customHeight="1" x14ac:dyDescent="0.25">
      <c r="A97" s="2">
        <v>95</v>
      </c>
      <c r="B97" s="3">
        <v>2</v>
      </c>
      <c r="C97" s="2">
        <v>1</v>
      </c>
      <c r="D97" s="9">
        <v>68</v>
      </c>
      <c r="E97" s="3" t="s">
        <v>53</v>
      </c>
      <c r="F97" s="3">
        <f t="shared" si="13"/>
        <v>2</v>
      </c>
      <c r="G97" s="11" t="s">
        <v>84</v>
      </c>
      <c r="H97" s="3" t="s">
        <v>84</v>
      </c>
      <c r="I97" s="3">
        <f t="shared" si="9"/>
        <v>3</v>
      </c>
      <c r="J97" s="3" t="s">
        <v>85</v>
      </c>
      <c r="K97" s="3">
        <v>1</v>
      </c>
      <c r="L97" s="6" t="s">
        <v>157</v>
      </c>
      <c r="M97" s="3">
        <v>-20</v>
      </c>
      <c r="N97" s="3">
        <f t="shared" si="10"/>
        <v>-0.2</v>
      </c>
      <c r="O97" s="3">
        <v>-23</v>
      </c>
      <c r="P97" s="3">
        <v>-0.23</v>
      </c>
      <c r="Q97" s="17">
        <v>3.3333333333333333E-2</v>
      </c>
      <c r="R97" s="21">
        <v>0</v>
      </c>
      <c r="S97" s="3">
        <v>2</v>
      </c>
      <c r="T97" s="3">
        <v>41.46</v>
      </c>
      <c r="U97" s="3">
        <v>55.25</v>
      </c>
      <c r="V97" s="26">
        <v>-1.56482748989005</v>
      </c>
      <c r="W97" s="18">
        <v>-1.91883651149493</v>
      </c>
      <c r="X97" s="18">
        <v>-1.2381893530500701</v>
      </c>
      <c r="Y97" s="18">
        <v>-2.71283438114778</v>
      </c>
      <c r="Z97" s="18">
        <v>0.45178252256198198</v>
      </c>
      <c r="AA97" s="18">
        <v>0.94585780455348001</v>
      </c>
      <c r="AB97" s="18">
        <v>0.53435100251821199</v>
      </c>
      <c r="AC97" s="18">
        <v>-2.6467762680454001</v>
      </c>
      <c r="AD97" s="18">
        <v>-0.34634148107399498</v>
      </c>
      <c r="AE97" s="21">
        <v>0.55370918835314298</v>
      </c>
      <c r="AF97" s="3">
        <v>0.78374500000000002</v>
      </c>
      <c r="AG97" s="3">
        <v>7.4665899999999993E-2</v>
      </c>
      <c r="AH97" s="3">
        <v>2.5704899999999999</v>
      </c>
      <c r="AI97" s="3">
        <v>0</v>
      </c>
      <c r="AJ97" s="3">
        <v>6.4614199999999997E-2</v>
      </c>
      <c r="AK97" s="3">
        <v>1.7545200000000001</v>
      </c>
      <c r="AL97" s="3">
        <v>0</v>
      </c>
      <c r="AM97" s="3">
        <v>0</v>
      </c>
      <c r="AN97" s="3">
        <v>-0.47661300000000001</v>
      </c>
      <c r="AO97" s="3">
        <v>0</v>
      </c>
      <c r="AP97" s="3">
        <v>0</v>
      </c>
      <c r="AQ97" s="3">
        <v>-0.48809399999999997</v>
      </c>
      <c r="AR97" s="3">
        <v>0</v>
      </c>
      <c r="AS97" s="3">
        <v>0</v>
      </c>
      <c r="AT97" s="3">
        <v>-0.24577499999999999</v>
      </c>
      <c r="AU97" s="3">
        <v>0</v>
      </c>
      <c r="AV97" s="3">
        <v>6.6666700000000004E-3</v>
      </c>
      <c r="AW97" s="3">
        <v>-0.70421400000000001</v>
      </c>
      <c r="AX97" s="3">
        <v>0</v>
      </c>
      <c r="AY97" s="3">
        <v>0</v>
      </c>
      <c r="AZ97" s="21">
        <v>-0.55598199999999998</v>
      </c>
      <c r="BA97" s="3">
        <v>13.79</v>
      </c>
      <c r="BB97" s="3">
        <v>1</v>
      </c>
    </row>
    <row r="98" spans="1:54" ht="63" customHeight="1" x14ac:dyDescent="0.25">
      <c r="A98" s="2">
        <v>96</v>
      </c>
      <c r="B98" s="3">
        <v>2</v>
      </c>
      <c r="C98" s="2">
        <v>1</v>
      </c>
      <c r="D98" s="9">
        <v>68</v>
      </c>
      <c r="E98" s="3" t="s">
        <v>53</v>
      </c>
      <c r="F98" s="3">
        <f t="shared" si="13"/>
        <v>2</v>
      </c>
      <c r="G98" s="12"/>
      <c r="H98" s="3" t="s">
        <v>84</v>
      </c>
      <c r="I98" s="3">
        <f t="shared" si="9"/>
        <v>3</v>
      </c>
      <c r="J98" s="3" t="s">
        <v>86</v>
      </c>
      <c r="K98" s="3">
        <v>2</v>
      </c>
      <c r="L98" s="6" t="s">
        <v>162</v>
      </c>
      <c r="M98" s="3">
        <v>-20</v>
      </c>
      <c r="N98" s="3">
        <f t="shared" si="10"/>
        <v>-0.2</v>
      </c>
      <c r="O98" s="3">
        <v>-23</v>
      </c>
      <c r="P98" s="3">
        <v>-0.23</v>
      </c>
      <c r="Q98" s="17">
        <v>0.2267592592592593</v>
      </c>
      <c r="R98" s="21">
        <v>0.1652930276189043</v>
      </c>
      <c r="S98" s="3">
        <v>3</v>
      </c>
      <c r="T98" s="3">
        <v>55.25</v>
      </c>
      <c r="U98" s="3">
        <v>95.27</v>
      </c>
      <c r="V98" s="26">
        <v>-1.3265006274928199</v>
      </c>
      <c r="W98" s="18">
        <v>0.48237796190835702</v>
      </c>
      <c r="X98" s="18">
        <v>-0.77201878606986096</v>
      </c>
      <c r="Y98" s="18">
        <v>-1.99840128243185</v>
      </c>
      <c r="Z98" s="18">
        <v>7.3277537493845996E-2</v>
      </c>
      <c r="AA98" s="18">
        <v>0.82675127040969199</v>
      </c>
      <c r="AB98" s="18">
        <v>-1.4014860280996</v>
      </c>
      <c r="AC98" s="18">
        <v>-0.62126731633099597</v>
      </c>
      <c r="AD98" s="18">
        <v>-0.78807217559285003</v>
      </c>
      <c r="AE98" s="21">
        <v>2.1666686467987999</v>
      </c>
      <c r="AF98" s="3">
        <v>1.02</v>
      </c>
      <c r="AG98" s="3">
        <v>0.54751700000000003</v>
      </c>
      <c r="AH98" s="3">
        <v>4.1563299999999996</v>
      </c>
      <c r="AI98" s="3">
        <v>0</v>
      </c>
      <c r="AJ98" s="3">
        <v>0.24327799999999999</v>
      </c>
      <c r="AK98" s="3">
        <v>-1.1052999999999999</v>
      </c>
      <c r="AL98" s="3">
        <v>0</v>
      </c>
      <c r="AM98" s="3">
        <v>0.156442</v>
      </c>
      <c r="AN98" s="3">
        <v>-0.13420899999999999</v>
      </c>
      <c r="AO98" s="3">
        <v>0</v>
      </c>
      <c r="AP98" s="3">
        <v>0.46948800000000002</v>
      </c>
      <c r="AQ98" s="3">
        <v>2.9161299999999999</v>
      </c>
      <c r="AR98" s="3">
        <v>0</v>
      </c>
      <c r="AS98" s="3">
        <v>0.13975899999999999</v>
      </c>
      <c r="AT98" s="3">
        <v>3.4823900000000001</v>
      </c>
      <c r="AU98" s="3">
        <v>0.51</v>
      </c>
      <c r="AV98" s="3">
        <v>0.31022100000000002</v>
      </c>
      <c r="AW98" s="3">
        <v>4.2876200000000004</v>
      </c>
      <c r="AX98" s="3">
        <v>0.84</v>
      </c>
      <c r="AY98" s="3">
        <v>0.38034400000000002</v>
      </c>
      <c r="AZ98" s="21">
        <v>2.4466100000000002</v>
      </c>
      <c r="BA98" s="3">
        <v>40.020000000000003</v>
      </c>
      <c r="BB98" s="3">
        <v>2</v>
      </c>
    </row>
    <row r="99" spans="1:54" ht="126" customHeight="1" x14ac:dyDescent="0.25">
      <c r="A99" s="2">
        <v>97</v>
      </c>
      <c r="B99" s="3">
        <v>2</v>
      </c>
      <c r="C99" s="2">
        <v>1</v>
      </c>
      <c r="D99" s="9">
        <v>68</v>
      </c>
      <c r="E99" s="3" t="s">
        <v>53</v>
      </c>
      <c r="F99" s="3">
        <f t="shared" si="13"/>
        <v>2</v>
      </c>
      <c r="G99" s="12"/>
      <c r="H99" s="3" t="s">
        <v>84</v>
      </c>
      <c r="I99" s="3">
        <f t="shared" si="9"/>
        <v>3</v>
      </c>
      <c r="J99" s="3" t="s">
        <v>87</v>
      </c>
      <c r="K99" s="3">
        <v>3</v>
      </c>
      <c r="L99" s="6" t="s">
        <v>203</v>
      </c>
      <c r="M99" s="3">
        <v>-20</v>
      </c>
      <c r="N99" s="3">
        <f t="shared" si="10"/>
        <v>-0.2</v>
      </c>
      <c r="O99" s="3">
        <v>-23</v>
      </c>
      <c r="P99" s="3">
        <v>-0.23</v>
      </c>
      <c r="Q99" s="17">
        <v>4.6576318027210878E-2</v>
      </c>
      <c r="R99" s="21">
        <v>0.30632869181055977</v>
      </c>
      <c r="S99" s="3">
        <v>4</v>
      </c>
      <c r="T99" s="3">
        <v>95.27</v>
      </c>
      <c r="U99" s="3">
        <v>179.22</v>
      </c>
      <c r="V99" s="26">
        <v>-0.297048280289403</v>
      </c>
      <c r="W99" s="18">
        <v>0.82287001022686801</v>
      </c>
      <c r="X99" s="18">
        <v>0.49407901475506899</v>
      </c>
      <c r="Y99" s="18">
        <v>-0.45620404358764499</v>
      </c>
      <c r="Z99" s="18">
        <v>-0.52155760442477095</v>
      </c>
      <c r="AA99" s="18">
        <v>-0.84490585063685297</v>
      </c>
      <c r="AB99" s="18">
        <v>0.20572165134819601</v>
      </c>
      <c r="AC99" s="18">
        <v>1.6836405317707099</v>
      </c>
      <c r="AD99" s="18">
        <v>2.5473820510898801</v>
      </c>
      <c r="AE99" s="21">
        <v>-1.1144755644194699</v>
      </c>
      <c r="AF99" s="3">
        <v>5.7054299999999998</v>
      </c>
      <c r="AG99" s="3">
        <v>0.17518</v>
      </c>
      <c r="AH99" s="3">
        <v>2.8942399999999999</v>
      </c>
      <c r="AI99" s="3">
        <v>0</v>
      </c>
      <c r="AJ99" s="3">
        <v>0.15465300000000001</v>
      </c>
      <c r="AK99" s="3">
        <v>-1.41367</v>
      </c>
      <c r="AL99" s="3">
        <v>0</v>
      </c>
      <c r="AM99" s="3">
        <v>9.6149299999999993E-2</v>
      </c>
      <c r="AN99" s="3">
        <v>-0.25667400000000001</v>
      </c>
      <c r="AO99" s="3">
        <v>0</v>
      </c>
      <c r="AP99" s="3">
        <v>0.12784899999999999</v>
      </c>
      <c r="AQ99" s="3">
        <v>2.6690100000000001</v>
      </c>
      <c r="AR99" s="3">
        <v>0</v>
      </c>
      <c r="AS99" s="3">
        <v>1.6764899999999999E-2</v>
      </c>
      <c r="AT99" s="3">
        <v>-0.133184</v>
      </c>
      <c r="AU99" s="3">
        <v>0</v>
      </c>
      <c r="AV99" s="3">
        <v>9.7031699999999999E-2</v>
      </c>
      <c r="AW99" s="3">
        <v>0.134273</v>
      </c>
      <c r="AX99" s="3">
        <v>2.4880800000000001</v>
      </c>
      <c r="AY99" s="3">
        <v>0.26782699999999998</v>
      </c>
      <c r="AZ99" s="21">
        <v>1.80813</v>
      </c>
      <c r="BA99" s="3">
        <v>83.95</v>
      </c>
      <c r="BB99" s="3">
        <v>3</v>
      </c>
    </row>
    <row r="100" spans="1:54" ht="110.25" customHeight="1" x14ac:dyDescent="0.25">
      <c r="A100" s="2">
        <v>98</v>
      </c>
      <c r="B100" s="3">
        <v>2</v>
      </c>
      <c r="C100" s="2">
        <v>1</v>
      </c>
      <c r="D100" s="9">
        <v>68</v>
      </c>
      <c r="E100" s="3" t="s">
        <v>53</v>
      </c>
      <c r="F100" s="3">
        <f t="shared" si="13"/>
        <v>2</v>
      </c>
      <c r="G100" s="12"/>
      <c r="H100" s="3" t="s">
        <v>84</v>
      </c>
      <c r="I100" s="3">
        <f t="shared" si="9"/>
        <v>3</v>
      </c>
      <c r="J100" s="3" t="s">
        <v>88</v>
      </c>
      <c r="K100" s="3">
        <v>4</v>
      </c>
      <c r="L100" s="6" t="s">
        <v>204</v>
      </c>
      <c r="M100" s="3">
        <v>-20</v>
      </c>
      <c r="N100" s="3">
        <f t="shared" si="10"/>
        <v>-0.2</v>
      </c>
      <c r="O100" s="3">
        <v>-23</v>
      </c>
      <c r="P100" s="3">
        <v>-0.23</v>
      </c>
      <c r="Q100" s="17">
        <v>0.2278928571428572</v>
      </c>
      <c r="R100" s="21">
        <v>0.64008976172192</v>
      </c>
      <c r="S100" s="3">
        <v>5</v>
      </c>
      <c r="T100" s="3">
        <v>179.22</v>
      </c>
      <c r="U100" s="3">
        <v>250.41</v>
      </c>
      <c r="V100" s="26">
        <v>-0.777516227200159</v>
      </c>
      <c r="W100" s="18">
        <v>-0.27238214536560701</v>
      </c>
      <c r="X100" s="18">
        <v>-0.92684049732763896</v>
      </c>
      <c r="Y100" s="18">
        <v>-0.77449836452277598</v>
      </c>
      <c r="Z100" s="18">
        <v>-1.55502179250119</v>
      </c>
      <c r="AA100" s="18">
        <v>-1.16720319497153</v>
      </c>
      <c r="AB100" s="18">
        <v>-1.05860287374631</v>
      </c>
      <c r="AC100" s="18">
        <v>1.5825247406972101</v>
      </c>
      <c r="AD100" s="18">
        <v>-4.9271130958974702E-2</v>
      </c>
      <c r="AE100" s="21">
        <v>0.91362576172531496</v>
      </c>
      <c r="AF100" s="3">
        <v>5.6982299999999997</v>
      </c>
      <c r="AG100" s="3">
        <v>0.20514099999999999</v>
      </c>
      <c r="AH100" s="3">
        <v>3.14906</v>
      </c>
      <c r="AI100" s="3">
        <v>0</v>
      </c>
      <c r="AJ100" s="3">
        <v>0.21896299999999999</v>
      </c>
      <c r="AK100" s="3">
        <v>0.111736</v>
      </c>
      <c r="AL100" s="3">
        <v>0</v>
      </c>
      <c r="AM100" s="3">
        <v>0</v>
      </c>
      <c r="AN100" s="3">
        <v>-0.47661300000000001</v>
      </c>
      <c r="AO100" s="3">
        <v>0</v>
      </c>
      <c r="AP100" s="3">
        <v>0.245361</v>
      </c>
      <c r="AQ100" s="3">
        <v>2.29928</v>
      </c>
      <c r="AR100" s="3">
        <v>0</v>
      </c>
      <c r="AS100" s="3">
        <v>0.170292</v>
      </c>
      <c r="AT100" s="3">
        <v>1.8529599999999999</v>
      </c>
      <c r="AU100" s="3">
        <v>0</v>
      </c>
      <c r="AV100" s="3">
        <v>0.30335099999999998</v>
      </c>
      <c r="AW100" s="3">
        <v>1.05182</v>
      </c>
      <c r="AX100" s="3">
        <v>2.6468099999999999</v>
      </c>
      <c r="AY100" s="3">
        <v>0.131385</v>
      </c>
      <c r="AZ100" s="21">
        <v>1.5887899999999999</v>
      </c>
      <c r="BA100" s="3">
        <v>71.19</v>
      </c>
      <c r="BB100" s="3">
        <v>4</v>
      </c>
    </row>
    <row r="101" spans="1:54" ht="110.25" customHeight="1" x14ac:dyDescent="0.25">
      <c r="A101" s="2">
        <v>99</v>
      </c>
      <c r="B101" s="3">
        <v>2</v>
      </c>
      <c r="C101" s="2">
        <v>1</v>
      </c>
      <c r="D101" s="9">
        <v>68</v>
      </c>
      <c r="E101" s="3" t="s">
        <v>53</v>
      </c>
      <c r="F101" s="3">
        <f>IF(E212="Happy", 1,2)</f>
        <v>2</v>
      </c>
      <c r="G101" s="12"/>
      <c r="H101" s="3" t="s">
        <v>84</v>
      </c>
      <c r="I101" s="3">
        <f t="shared" si="9"/>
        <v>3</v>
      </c>
      <c r="J101" s="3" t="s">
        <v>89</v>
      </c>
      <c r="K101" s="3">
        <v>5</v>
      </c>
      <c r="L101" s="6" t="s">
        <v>204</v>
      </c>
      <c r="M101" s="3">
        <v>-20</v>
      </c>
      <c r="N101" s="3">
        <f t="shared" si="10"/>
        <v>-0.2</v>
      </c>
      <c r="O101" s="3">
        <v>-23</v>
      </c>
      <c r="P101" s="3">
        <v>-0.23</v>
      </c>
      <c r="Q101" s="17">
        <v>0.21577777777777779</v>
      </c>
      <c r="R101" s="21">
        <v>0.1212991404812148</v>
      </c>
      <c r="S101" s="3">
        <v>6</v>
      </c>
      <c r="T101" s="3">
        <v>250.41</v>
      </c>
      <c r="U101" s="3">
        <v>320.98</v>
      </c>
      <c r="V101" s="26">
        <v>-0.36641750690869901</v>
      </c>
      <c r="W101" s="18">
        <v>-1.41981089769407</v>
      </c>
      <c r="X101" s="18">
        <v>-1.14306909829278</v>
      </c>
      <c r="Y101" s="18">
        <v>-4.8809011593975798E-2</v>
      </c>
      <c r="Z101" s="18">
        <v>-1.7400524986633501</v>
      </c>
      <c r="AA101" s="18">
        <v>-1.6611867455176099</v>
      </c>
      <c r="AB101" s="18">
        <v>-6.7841725130867295E-2</v>
      </c>
      <c r="AC101" s="18">
        <v>1.35421592822073</v>
      </c>
      <c r="AD101" s="18">
        <v>1.1436600662855101</v>
      </c>
      <c r="AE101" s="21">
        <v>-0.11280298455828799</v>
      </c>
      <c r="AF101" s="3">
        <v>7.3320100000000004</v>
      </c>
      <c r="AG101" s="3">
        <v>8.98394E-2</v>
      </c>
      <c r="AH101" s="3">
        <v>2.5450699999999999</v>
      </c>
      <c r="AI101" s="3">
        <v>0.10206999999999999</v>
      </c>
      <c r="AJ101" s="3">
        <v>2.5625499999999999E-2</v>
      </c>
      <c r="AK101" s="3">
        <v>3.1429200000000002</v>
      </c>
      <c r="AL101" s="3">
        <v>0</v>
      </c>
      <c r="AM101" s="3">
        <v>0</v>
      </c>
      <c r="AN101" s="3">
        <v>-0.47661300000000001</v>
      </c>
      <c r="AO101" s="3">
        <v>0</v>
      </c>
      <c r="AP101" s="3">
        <v>0.123734</v>
      </c>
      <c r="AQ101" s="3">
        <v>0.55578700000000003</v>
      </c>
      <c r="AR101" s="3">
        <v>0</v>
      </c>
      <c r="AS101" s="3">
        <v>0</v>
      </c>
      <c r="AT101" s="3">
        <v>-0.24577499999999999</v>
      </c>
      <c r="AU101" s="3">
        <v>0</v>
      </c>
      <c r="AV101" s="3">
        <v>0.113783</v>
      </c>
      <c r="AW101" s="3">
        <v>-0.26022600000000001</v>
      </c>
      <c r="AX101" s="3">
        <v>2.0243799999999998</v>
      </c>
      <c r="AY101" s="3">
        <v>0.36818000000000001</v>
      </c>
      <c r="AZ101" s="21">
        <v>1.9648699999999999</v>
      </c>
      <c r="BA101" s="3">
        <v>70.569999999999993</v>
      </c>
      <c r="BB101" s="3">
        <v>5</v>
      </c>
    </row>
    <row r="102" spans="1:54" ht="116.25" customHeight="1" x14ac:dyDescent="0.25">
      <c r="A102" s="2">
        <v>100</v>
      </c>
      <c r="B102" s="3">
        <v>2</v>
      </c>
      <c r="C102" s="2">
        <v>1</v>
      </c>
      <c r="D102" s="9">
        <v>68</v>
      </c>
      <c r="E102" s="3" t="s">
        <v>53</v>
      </c>
      <c r="F102" s="3">
        <f>IF(E213="Happy", 1,2)</f>
        <v>2</v>
      </c>
      <c r="G102" s="12"/>
      <c r="H102" s="3" t="s">
        <v>84</v>
      </c>
      <c r="I102" s="3">
        <f t="shared" si="9"/>
        <v>3</v>
      </c>
      <c r="J102" s="3" t="s">
        <v>90</v>
      </c>
      <c r="K102" s="3">
        <v>6</v>
      </c>
      <c r="L102" s="6" t="s">
        <v>205</v>
      </c>
      <c r="M102" s="3">
        <v>-20</v>
      </c>
      <c r="N102" s="3">
        <f t="shared" si="10"/>
        <v>-0.2</v>
      </c>
      <c r="O102" s="3">
        <v>-23</v>
      </c>
      <c r="P102" s="3">
        <v>-0.23</v>
      </c>
      <c r="Q102" s="17">
        <v>0.30166666666666669</v>
      </c>
      <c r="R102" s="21">
        <v>0.24527195790251549</v>
      </c>
      <c r="S102" s="3">
        <v>7</v>
      </c>
      <c r="T102" s="3">
        <v>320.98</v>
      </c>
      <c r="U102" s="3">
        <v>365.59</v>
      </c>
      <c r="V102" s="26">
        <v>0.69720778966193597</v>
      </c>
      <c r="W102" s="18">
        <v>2.1087232665650202</v>
      </c>
      <c r="X102" s="18">
        <v>-0.446902227836246</v>
      </c>
      <c r="Y102" s="18">
        <v>-0.89090340306956906</v>
      </c>
      <c r="Z102" s="18">
        <v>0.232686367743697</v>
      </c>
      <c r="AA102" s="18">
        <v>0.95631819705988896</v>
      </c>
      <c r="AB102" s="18">
        <v>-0.68995322902324396</v>
      </c>
      <c r="AC102" s="18">
        <v>-1.00710388753251</v>
      </c>
      <c r="AD102" s="18">
        <v>-0.28511915674594202</v>
      </c>
      <c r="AE102" s="21">
        <v>1.4316009361022</v>
      </c>
      <c r="AF102" s="3">
        <v>2.3138999999999998</v>
      </c>
      <c r="AG102" s="3">
        <v>8.7137300000000001E-2</v>
      </c>
      <c r="AH102" s="3">
        <v>2.4082300000000001</v>
      </c>
      <c r="AI102" s="3">
        <v>0</v>
      </c>
      <c r="AJ102" s="3">
        <v>0.117045</v>
      </c>
      <c r="AK102" s="3">
        <v>2.1523300000000001</v>
      </c>
      <c r="AL102" s="3">
        <v>0</v>
      </c>
      <c r="AM102" s="3">
        <v>0</v>
      </c>
      <c r="AN102" s="3">
        <v>-0.47661300000000001</v>
      </c>
      <c r="AO102" s="3">
        <v>0</v>
      </c>
      <c r="AP102" s="3">
        <v>4.3200099999999998E-2</v>
      </c>
      <c r="AQ102" s="3">
        <v>-0.36397400000000002</v>
      </c>
      <c r="AR102" s="3">
        <v>0</v>
      </c>
      <c r="AS102" s="3">
        <v>0</v>
      </c>
      <c r="AT102" s="3">
        <v>-0.24577499999999999</v>
      </c>
      <c r="AU102" s="3">
        <v>0</v>
      </c>
      <c r="AV102" s="3">
        <v>0.207814</v>
      </c>
      <c r="AW102" s="3">
        <v>0.42272399999999999</v>
      </c>
      <c r="AX102" s="3">
        <v>0.88789200000000001</v>
      </c>
      <c r="AY102" s="3">
        <v>0.18226100000000001</v>
      </c>
      <c r="AZ102" s="21">
        <v>1.6190800000000001</v>
      </c>
      <c r="BA102" s="3">
        <v>44.61</v>
      </c>
      <c r="BB102" s="3">
        <v>6</v>
      </c>
    </row>
    <row r="103" spans="1:54" ht="126" customHeight="1" x14ac:dyDescent="0.25">
      <c r="A103" s="2">
        <v>101</v>
      </c>
      <c r="B103" s="3">
        <v>2</v>
      </c>
      <c r="C103" s="2">
        <v>1</v>
      </c>
      <c r="D103" s="9">
        <v>68</v>
      </c>
      <c r="E103" s="3" t="s">
        <v>53</v>
      </c>
      <c r="F103" s="3">
        <f t="shared" ref="F103:F110" si="14">IF(E213="Happy", 1,2)</f>
        <v>2</v>
      </c>
      <c r="G103" s="12"/>
      <c r="H103" s="3" t="s">
        <v>84</v>
      </c>
      <c r="I103" s="3">
        <f t="shared" si="9"/>
        <v>3</v>
      </c>
      <c r="J103" s="3" t="s">
        <v>91</v>
      </c>
      <c r="K103" s="3">
        <v>7</v>
      </c>
      <c r="L103" s="6" t="s">
        <v>206</v>
      </c>
      <c r="M103" s="3">
        <v>-20</v>
      </c>
      <c r="N103" s="3">
        <f t="shared" si="10"/>
        <v>-0.2</v>
      </c>
      <c r="O103" s="3">
        <v>-23</v>
      </c>
      <c r="P103" s="3">
        <v>-0.23</v>
      </c>
      <c r="Q103" s="17">
        <v>6.8250000000000019E-2</v>
      </c>
      <c r="R103" s="21">
        <v>0.34695055483454701</v>
      </c>
      <c r="S103" s="3">
        <v>9</v>
      </c>
      <c r="T103" s="3">
        <v>386.28</v>
      </c>
      <c r="U103" s="3">
        <v>462.56</v>
      </c>
      <c r="V103" s="26">
        <v>-0.63279285633191995</v>
      </c>
      <c r="W103" s="18">
        <v>-0.45257930260468499</v>
      </c>
      <c r="X103" s="18">
        <v>-0.343458103718214</v>
      </c>
      <c r="Y103" s="18">
        <v>0.23512887077977199</v>
      </c>
      <c r="Z103" s="18">
        <v>0.38248699452643198</v>
      </c>
      <c r="AA103" s="18">
        <v>-0.252643981114612</v>
      </c>
      <c r="AB103" s="18">
        <v>-1.2611408890642499</v>
      </c>
      <c r="AC103" s="18">
        <v>-1.02679485737313</v>
      </c>
      <c r="AD103" s="18">
        <v>-0.63927867849176201</v>
      </c>
      <c r="AE103" s="21">
        <v>0.77080172467286601</v>
      </c>
      <c r="AF103" s="3">
        <v>1.24312</v>
      </c>
      <c r="AG103" s="3">
        <v>0.130742</v>
      </c>
      <c r="AH103" s="3">
        <v>2.5009999999999999</v>
      </c>
      <c r="AI103" s="3">
        <v>0.188828</v>
      </c>
      <c r="AJ103" s="3">
        <v>9.0599899999999997E-2</v>
      </c>
      <c r="AK103" s="3">
        <v>3.66</v>
      </c>
      <c r="AL103" s="3">
        <v>0.110149</v>
      </c>
      <c r="AM103" s="3">
        <v>4.7207699999999998E-2</v>
      </c>
      <c r="AN103" s="3">
        <v>5.2202900000000003</v>
      </c>
      <c r="AO103" s="3">
        <v>0</v>
      </c>
      <c r="AP103" s="3">
        <v>0</v>
      </c>
      <c r="AQ103" s="3">
        <v>-0.48809399999999997</v>
      </c>
      <c r="AR103" s="3">
        <v>0</v>
      </c>
      <c r="AS103" s="3">
        <v>0</v>
      </c>
      <c r="AT103" s="3">
        <v>-0.24577499999999999</v>
      </c>
      <c r="AU103" s="3">
        <v>0</v>
      </c>
      <c r="AV103" s="3">
        <v>0.112694</v>
      </c>
      <c r="AW103" s="3">
        <v>-0.22628999999999999</v>
      </c>
      <c r="AX103" s="3">
        <v>1.9826900000000001</v>
      </c>
      <c r="AY103" s="3">
        <v>0.12839700000000001</v>
      </c>
      <c r="AZ103" s="21">
        <v>1.7537700000000001</v>
      </c>
      <c r="BA103" s="3">
        <v>76.28</v>
      </c>
      <c r="BB103" s="3">
        <v>7</v>
      </c>
    </row>
    <row r="104" spans="1:54" ht="126" customHeight="1" x14ac:dyDescent="0.25">
      <c r="A104" s="2">
        <v>102</v>
      </c>
      <c r="B104" s="3">
        <v>2</v>
      </c>
      <c r="C104" s="2">
        <v>1</v>
      </c>
      <c r="D104" s="9">
        <v>68</v>
      </c>
      <c r="E104" s="3" t="s">
        <v>53</v>
      </c>
      <c r="F104" s="3">
        <f t="shared" si="14"/>
        <v>2</v>
      </c>
      <c r="G104" s="12"/>
      <c r="H104" s="3" t="s">
        <v>84</v>
      </c>
      <c r="I104" s="3">
        <f t="shared" si="9"/>
        <v>3</v>
      </c>
      <c r="J104" s="3" t="s">
        <v>92</v>
      </c>
      <c r="K104" s="3">
        <v>8</v>
      </c>
      <c r="L104" s="6" t="s">
        <v>207</v>
      </c>
      <c r="M104" s="3">
        <v>-20</v>
      </c>
      <c r="N104" s="3">
        <f t="shared" si="10"/>
        <v>-0.2</v>
      </c>
      <c r="O104" s="3">
        <v>-23</v>
      </c>
      <c r="P104" s="3">
        <v>-0.23</v>
      </c>
      <c r="Q104" s="17">
        <v>0.16166666666666671</v>
      </c>
      <c r="R104" s="21">
        <v>0.23845179651086559</v>
      </c>
      <c r="S104" s="3">
        <v>11</v>
      </c>
      <c r="T104" s="3">
        <v>469.74</v>
      </c>
      <c r="U104" s="3">
        <v>525.48</v>
      </c>
      <c r="V104" s="26">
        <v>-0.238129402070065</v>
      </c>
      <c r="W104" s="18">
        <v>-0.54301303224876896</v>
      </c>
      <c r="X104" s="18">
        <v>-0.450697099078048</v>
      </c>
      <c r="Y104" s="18">
        <v>0.21663968213292201</v>
      </c>
      <c r="Z104" s="18">
        <v>-0.35326846490986102</v>
      </c>
      <c r="AA104" s="18">
        <v>-0.68704340797373997</v>
      </c>
      <c r="AB104" s="18">
        <v>8.0800216637255098E-4</v>
      </c>
      <c r="AC104" s="18">
        <v>-0.62179950470506795</v>
      </c>
      <c r="AD104" s="18">
        <v>-0.47886068942965099</v>
      </c>
      <c r="AE104" s="21">
        <v>0.83745294196400899</v>
      </c>
      <c r="AF104" s="3">
        <v>2.17516</v>
      </c>
      <c r="AG104" s="3">
        <v>0.185082</v>
      </c>
      <c r="AH104" s="3">
        <v>3.29576</v>
      </c>
      <c r="AI104" s="3">
        <v>0</v>
      </c>
      <c r="AJ104" s="3">
        <v>0.215031</v>
      </c>
      <c r="AK104" s="3">
        <v>-1.3795299999999999</v>
      </c>
      <c r="AL104" s="3">
        <v>0</v>
      </c>
      <c r="AM104" s="3">
        <v>6.5074300000000002E-2</v>
      </c>
      <c r="AN104" s="3">
        <v>-0.38306299999999999</v>
      </c>
      <c r="AO104" s="3">
        <v>0</v>
      </c>
      <c r="AP104" s="3">
        <v>0.13084799999999999</v>
      </c>
      <c r="AQ104" s="3">
        <v>3.40991</v>
      </c>
      <c r="AR104" s="3">
        <v>0</v>
      </c>
      <c r="AS104" s="3">
        <v>0.146952</v>
      </c>
      <c r="AT104" s="3">
        <v>3.38069</v>
      </c>
      <c r="AU104" s="3">
        <v>0</v>
      </c>
      <c r="AV104" s="3">
        <v>0.370506</v>
      </c>
      <c r="AW104" s="3">
        <v>1.88205</v>
      </c>
      <c r="AX104" s="3">
        <v>0</v>
      </c>
      <c r="AY104" s="3">
        <v>0.18588099999999999</v>
      </c>
      <c r="AZ104" s="21">
        <v>0.70608899999999997</v>
      </c>
      <c r="BA104" s="3">
        <v>55.74</v>
      </c>
      <c r="BB104" s="3">
        <v>8</v>
      </c>
    </row>
    <row r="105" spans="1:54" ht="110.25" customHeight="1" x14ac:dyDescent="0.25">
      <c r="A105" s="2">
        <v>103</v>
      </c>
      <c r="B105" s="3">
        <v>2</v>
      </c>
      <c r="C105" s="2">
        <v>1</v>
      </c>
      <c r="D105" s="9">
        <v>68</v>
      </c>
      <c r="E105" s="3" t="s">
        <v>53</v>
      </c>
      <c r="F105" s="3">
        <f t="shared" si="14"/>
        <v>2</v>
      </c>
      <c r="G105" s="12"/>
      <c r="H105" s="3" t="s">
        <v>84</v>
      </c>
      <c r="I105" s="3">
        <f t="shared" si="9"/>
        <v>3</v>
      </c>
      <c r="J105" s="3" t="s">
        <v>93</v>
      </c>
      <c r="K105" s="3">
        <v>9</v>
      </c>
      <c r="L105" s="6" t="s">
        <v>189</v>
      </c>
      <c r="M105" s="3">
        <v>-20</v>
      </c>
      <c r="N105" s="3">
        <f t="shared" si="10"/>
        <v>-0.2</v>
      </c>
      <c r="O105" s="3">
        <v>-23</v>
      </c>
      <c r="P105" s="3">
        <v>-0.23</v>
      </c>
      <c r="Q105" s="17">
        <v>0.25819444444444439</v>
      </c>
      <c r="R105" s="21">
        <v>0.22396379192314231</v>
      </c>
      <c r="S105" s="3">
        <v>13</v>
      </c>
      <c r="T105" s="3">
        <v>547.97</v>
      </c>
      <c r="U105" s="3">
        <v>609.79</v>
      </c>
      <c r="V105" s="26">
        <v>-0.73279989962527003</v>
      </c>
      <c r="W105" s="18">
        <v>-0.183781050047223</v>
      </c>
      <c r="X105" s="18">
        <v>-1.0996991412436199</v>
      </c>
      <c r="Y105" s="18">
        <v>-0.55913774175115805</v>
      </c>
      <c r="Z105" s="18">
        <v>-1.3989612755807901</v>
      </c>
      <c r="AA105" s="18">
        <v>-1.04269675319169</v>
      </c>
      <c r="AB105" s="18">
        <v>-1.28447083188133</v>
      </c>
      <c r="AC105" s="18">
        <v>8.8139786305708206E-2</v>
      </c>
      <c r="AD105" s="18">
        <v>-0.58193118481738404</v>
      </c>
      <c r="AE105" s="21">
        <v>0.26615679375421197</v>
      </c>
      <c r="AF105" s="3">
        <v>4.7378600000000004</v>
      </c>
      <c r="AG105" s="3">
        <v>0.12828400000000001</v>
      </c>
      <c r="AH105" s="3">
        <v>2.7913700000000001</v>
      </c>
      <c r="AI105" s="3">
        <v>0.213592</v>
      </c>
      <c r="AJ105" s="3">
        <v>7.8716999999999995E-2</v>
      </c>
      <c r="AK105" s="3">
        <v>3.4291200000000002</v>
      </c>
      <c r="AL105" s="3">
        <v>0.15534000000000001</v>
      </c>
      <c r="AM105" s="3">
        <v>6.0944900000000003E-2</v>
      </c>
      <c r="AN105" s="3">
        <v>5.4165599999999996</v>
      </c>
      <c r="AO105" s="3">
        <v>0</v>
      </c>
      <c r="AP105" s="3">
        <v>0</v>
      </c>
      <c r="AQ105" s="3">
        <v>-0.48809399999999997</v>
      </c>
      <c r="AR105" s="3">
        <v>0</v>
      </c>
      <c r="AS105" s="3">
        <v>0</v>
      </c>
      <c r="AT105" s="3">
        <v>-0.24577499999999999</v>
      </c>
      <c r="AU105" s="3">
        <v>0</v>
      </c>
      <c r="AV105" s="3">
        <v>7.0710700000000001E-2</v>
      </c>
      <c r="AW105" s="3">
        <v>-0.569886</v>
      </c>
      <c r="AX105" s="3">
        <v>0</v>
      </c>
      <c r="AY105" s="3">
        <v>4.4721400000000001E-2</v>
      </c>
      <c r="AZ105" s="21">
        <v>0.90604300000000004</v>
      </c>
      <c r="BA105" s="3">
        <v>61.82</v>
      </c>
      <c r="BB105" s="3">
        <v>9</v>
      </c>
    </row>
    <row r="106" spans="1:54" ht="47.25" customHeight="1" x14ac:dyDescent="0.25">
      <c r="A106" s="2">
        <v>104</v>
      </c>
      <c r="B106" s="3">
        <v>3</v>
      </c>
      <c r="C106" s="2">
        <v>2</v>
      </c>
      <c r="D106" s="9">
        <v>85</v>
      </c>
      <c r="E106" s="3" t="s">
        <v>16</v>
      </c>
      <c r="F106" s="3">
        <f t="shared" si="14"/>
        <v>2</v>
      </c>
      <c r="G106" s="11" t="s">
        <v>17</v>
      </c>
      <c r="H106" s="3" t="s">
        <v>17</v>
      </c>
      <c r="I106" s="3">
        <f t="shared" si="9"/>
        <v>1</v>
      </c>
      <c r="J106" s="3" t="s">
        <v>18</v>
      </c>
      <c r="K106" s="3">
        <v>1</v>
      </c>
      <c r="L106" s="6" t="s">
        <v>148</v>
      </c>
      <c r="M106" s="3">
        <v>92</v>
      </c>
      <c r="N106" s="3">
        <f t="shared" si="10"/>
        <v>0.92</v>
      </c>
      <c r="O106" s="3">
        <v>91</v>
      </c>
      <c r="P106" s="3">
        <v>0.91</v>
      </c>
      <c r="Q106" s="17">
        <v>0.22500000000000001</v>
      </c>
      <c r="R106" s="21">
        <v>0.28831406486676991</v>
      </c>
      <c r="S106" s="3">
        <v>2</v>
      </c>
      <c r="T106" s="3">
        <v>529.72</v>
      </c>
      <c r="U106" s="3">
        <v>554.41999999999996</v>
      </c>
      <c r="V106" s="26">
        <v>0.16132701260119101</v>
      </c>
      <c r="W106" s="18">
        <v>-1.26106813450462</v>
      </c>
      <c r="X106" s="18">
        <v>-1.5017745053221001</v>
      </c>
      <c r="Y106" s="18">
        <v>1.64825903939233</v>
      </c>
      <c r="Z106" s="18">
        <v>1.1750054689399101</v>
      </c>
      <c r="AA106" s="18">
        <v>1.2172316388514699</v>
      </c>
      <c r="AB106" s="18">
        <v>1.36144389164334</v>
      </c>
      <c r="AC106" s="18">
        <v>-1.13149452432318</v>
      </c>
      <c r="AD106" s="18">
        <v>-0.36949899871338299</v>
      </c>
      <c r="AE106" s="21">
        <v>0.342764388487865</v>
      </c>
      <c r="AF106" s="3">
        <v>57.228499999999997</v>
      </c>
      <c r="AG106" s="3">
        <v>0.84080299999999997</v>
      </c>
      <c r="AH106" s="3">
        <v>1.7481899999999999</v>
      </c>
      <c r="AI106" s="3">
        <v>9.8217199999999991</v>
      </c>
      <c r="AJ106" s="3">
        <v>0.26158700000000001</v>
      </c>
      <c r="AK106" s="3">
        <v>1.53931</v>
      </c>
      <c r="AL106" s="3">
        <v>0</v>
      </c>
      <c r="AM106" s="3">
        <v>0</v>
      </c>
      <c r="AN106" s="3">
        <v>-0.42881599999999997</v>
      </c>
      <c r="AO106" s="3">
        <v>0</v>
      </c>
      <c r="AP106" s="3">
        <v>0.227941</v>
      </c>
      <c r="AQ106" s="3">
        <v>0.79032599999999997</v>
      </c>
      <c r="AR106" s="3">
        <v>0</v>
      </c>
      <c r="AS106" s="3">
        <v>3.04725E-3</v>
      </c>
      <c r="AT106" s="3">
        <v>-0.35009200000000001</v>
      </c>
      <c r="AU106" s="3">
        <v>0</v>
      </c>
      <c r="AV106" s="3">
        <v>6.0301399999999998E-2</v>
      </c>
      <c r="AW106" s="3">
        <v>-0.29265200000000002</v>
      </c>
      <c r="AX106" s="3">
        <v>0.29173399999999999</v>
      </c>
      <c r="AY106" s="3">
        <v>0.10745499999999999</v>
      </c>
      <c r="AZ106" s="21">
        <v>2.2217799999999999</v>
      </c>
      <c r="BA106" s="3">
        <v>24.702999999999999</v>
      </c>
      <c r="BB106" s="3">
        <v>1</v>
      </c>
    </row>
    <row r="107" spans="1:54" ht="110.25" customHeight="1" x14ac:dyDescent="0.25">
      <c r="A107" s="2">
        <v>105</v>
      </c>
      <c r="B107" s="3">
        <v>3</v>
      </c>
      <c r="C107" s="2">
        <v>2</v>
      </c>
      <c r="D107" s="9">
        <v>85</v>
      </c>
      <c r="E107" s="3" t="s">
        <v>16</v>
      </c>
      <c r="F107" s="3">
        <f t="shared" si="14"/>
        <v>1</v>
      </c>
      <c r="G107" s="12"/>
      <c r="H107" s="3" t="s">
        <v>17</v>
      </c>
      <c r="I107" s="3">
        <f t="shared" si="9"/>
        <v>1</v>
      </c>
      <c r="J107" s="3" t="s">
        <v>19</v>
      </c>
      <c r="K107" s="3">
        <v>2</v>
      </c>
      <c r="L107" s="6" t="s">
        <v>208</v>
      </c>
      <c r="M107" s="3">
        <v>92</v>
      </c>
      <c r="N107" s="3">
        <f t="shared" si="10"/>
        <v>0.92</v>
      </c>
      <c r="O107" s="3">
        <v>91</v>
      </c>
      <c r="P107" s="3">
        <v>0.91</v>
      </c>
      <c r="Q107" s="17">
        <v>3.4027777777777768E-2</v>
      </c>
      <c r="R107" s="21">
        <v>0.26875269163165472</v>
      </c>
      <c r="S107" s="3">
        <v>3</v>
      </c>
      <c r="T107" s="3">
        <v>554.41999999999996</v>
      </c>
      <c r="U107" s="3">
        <v>608.30999999999995</v>
      </c>
      <c r="V107" s="26">
        <v>-0.97576559022795994</v>
      </c>
      <c r="W107" s="18">
        <v>-1.45813330185499</v>
      </c>
      <c r="X107" s="18">
        <v>-1.58572540479501</v>
      </c>
      <c r="Y107" s="18">
        <v>-8.1338718728362305E-2</v>
      </c>
      <c r="Z107" s="18">
        <v>-1.67476088813274</v>
      </c>
      <c r="AA107" s="18">
        <v>-1.2280506547582799</v>
      </c>
      <c r="AB107" s="18">
        <v>1.1668159875725801</v>
      </c>
      <c r="AC107" s="18">
        <v>1.2462295464452899</v>
      </c>
      <c r="AD107" s="18">
        <v>-0.58105615248278997</v>
      </c>
      <c r="AE107" s="21">
        <v>0.86266012832618399</v>
      </c>
      <c r="AF107" s="3">
        <v>55.991100000000003</v>
      </c>
      <c r="AG107" s="3">
        <v>0.77946400000000005</v>
      </c>
      <c r="AH107" s="3">
        <v>1.7414400000000001</v>
      </c>
      <c r="AI107" s="3">
        <v>36.392000000000003</v>
      </c>
      <c r="AJ107" s="3">
        <v>0.31610899999999997</v>
      </c>
      <c r="AK107" s="3">
        <v>1.4312100000000001</v>
      </c>
      <c r="AL107" s="3">
        <v>0</v>
      </c>
      <c r="AM107" s="3">
        <v>0</v>
      </c>
      <c r="AN107" s="3">
        <v>-0.42881599999999997</v>
      </c>
      <c r="AO107" s="3">
        <v>1.95991</v>
      </c>
      <c r="AP107" s="3">
        <v>7.3903800000000006E-2</v>
      </c>
      <c r="AQ107" s="3">
        <v>1.9204399999999999</v>
      </c>
      <c r="AR107" s="3">
        <v>0</v>
      </c>
      <c r="AS107" s="3">
        <v>0</v>
      </c>
      <c r="AT107" s="3">
        <v>-0.35226200000000002</v>
      </c>
      <c r="AU107" s="3">
        <v>0</v>
      </c>
      <c r="AV107" s="3">
        <v>0</v>
      </c>
      <c r="AW107" s="3">
        <v>-0.34759200000000001</v>
      </c>
      <c r="AX107" s="3">
        <v>0.178174</v>
      </c>
      <c r="AY107" s="3">
        <v>0.19286800000000001</v>
      </c>
      <c r="AZ107" s="21">
        <v>2.31968</v>
      </c>
      <c r="BA107" s="3">
        <v>53.893000000000001</v>
      </c>
      <c r="BB107" s="3">
        <v>2</v>
      </c>
    </row>
    <row r="108" spans="1:54" ht="141.75" customHeight="1" x14ac:dyDescent="0.25">
      <c r="A108" s="2">
        <v>106</v>
      </c>
      <c r="B108" s="3">
        <v>3</v>
      </c>
      <c r="C108" s="2">
        <v>2</v>
      </c>
      <c r="D108" s="9">
        <v>85</v>
      </c>
      <c r="E108" s="3" t="s">
        <v>16</v>
      </c>
      <c r="F108" s="3">
        <f t="shared" si="14"/>
        <v>1</v>
      </c>
      <c r="G108" s="12"/>
      <c r="H108" s="3" t="s">
        <v>17</v>
      </c>
      <c r="I108" s="3">
        <f t="shared" si="9"/>
        <v>1</v>
      </c>
      <c r="J108" s="3" t="s">
        <v>20</v>
      </c>
      <c r="K108" s="3">
        <v>3</v>
      </c>
      <c r="L108" s="6" t="s">
        <v>209</v>
      </c>
      <c r="M108" s="3">
        <v>92</v>
      </c>
      <c r="N108" s="3">
        <f t="shared" si="10"/>
        <v>0.92</v>
      </c>
      <c r="O108" s="3">
        <v>91</v>
      </c>
      <c r="P108" s="3">
        <v>0.91</v>
      </c>
      <c r="Q108" s="17">
        <v>0.24342592592592591</v>
      </c>
      <c r="R108" s="21">
        <v>0.14809346502366691</v>
      </c>
      <c r="S108" s="3">
        <v>4</v>
      </c>
      <c r="T108" s="3">
        <v>608.30999999999995</v>
      </c>
      <c r="U108" s="3">
        <v>690.92</v>
      </c>
      <c r="V108" s="26">
        <v>0.60737641882299997</v>
      </c>
      <c r="W108" s="18">
        <v>-0.56318184496553303</v>
      </c>
      <c r="X108" s="18">
        <v>-0.63469651411833605</v>
      </c>
      <c r="Y108" s="18">
        <v>0.90143666555925495</v>
      </c>
      <c r="Z108" s="18">
        <v>-0.196905461737471</v>
      </c>
      <c r="AA108" s="18">
        <v>-0.36879416149558097</v>
      </c>
      <c r="AB108" s="18">
        <v>-1.7530192240728499</v>
      </c>
      <c r="AC108" s="18">
        <v>0.19837970445158901</v>
      </c>
      <c r="AD108" s="18">
        <v>-0.55235241805176405</v>
      </c>
      <c r="AE108" s="21">
        <v>1.57494666454535</v>
      </c>
      <c r="AF108" s="3">
        <v>45.225200000000001</v>
      </c>
      <c r="AG108" s="3">
        <v>0.39845799999999998</v>
      </c>
      <c r="AH108" s="3">
        <v>1.19479</v>
      </c>
      <c r="AI108" s="3">
        <v>23.433399999999999</v>
      </c>
      <c r="AJ108" s="3">
        <v>0.20286399999999999</v>
      </c>
      <c r="AK108" s="3">
        <v>0.88480000000000003</v>
      </c>
      <c r="AL108" s="3">
        <v>0</v>
      </c>
      <c r="AM108" s="3">
        <v>0</v>
      </c>
      <c r="AN108" s="3">
        <v>-0.42881599999999997</v>
      </c>
      <c r="AO108" s="3">
        <v>2.07748</v>
      </c>
      <c r="AP108" s="3">
        <v>6.1146499999999999E-2</v>
      </c>
      <c r="AQ108" s="3">
        <v>1.80247</v>
      </c>
      <c r="AR108" s="3">
        <v>0</v>
      </c>
      <c r="AS108" s="3">
        <v>9.4686599999999996E-2</v>
      </c>
      <c r="AT108" s="3">
        <v>1.08653</v>
      </c>
      <c r="AU108" s="3">
        <v>0</v>
      </c>
      <c r="AV108" s="3">
        <v>0</v>
      </c>
      <c r="AW108" s="3">
        <v>-0.34759200000000001</v>
      </c>
      <c r="AX108" s="3">
        <v>0.13075100000000001</v>
      </c>
      <c r="AY108" s="3">
        <v>0.123805</v>
      </c>
      <c r="AZ108" s="21">
        <v>2.1629999999999998</v>
      </c>
      <c r="BA108" s="3">
        <v>82.61</v>
      </c>
      <c r="BB108" s="3">
        <v>3</v>
      </c>
    </row>
    <row r="109" spans="1:54" ht="204.75" customHeight="1" x14ac:dyDescent="0.25">
      <c r="A109" s="2">
        <v>107</v>
      </c>
      <c r="B109" s="3">
        <v>3</v>
      </c>
      <c r="C109" s="2">
        <v>2</v>
      </c>
      <c r="D109" s="9">
        <v>85</v>
      </c>
      <c r="E109" s="3" t="s">
        <v>16</v>
      </c>
      <c r="F109" s="3">
        <f t="shared" si="14"/>
        <v>1</v>
      </c>
      <c r="G109" s="12"/>
      <c r="H109" s="3" t="s">
        <v>17</v>
      </c>
      <c r="I109" s="3">
        <f t="shared" si="9"/>
        <v>1</v>
      </c>
      <c r="J109" s="3" t="s">
        <v>21</v>
      </c>
      <c r="K109" s="3">
        <v>4</v>
      </c>
      <c r="L109" s="6" t="s">
        <v>210</v>
      </c>
      <c r="M109" s="3">
        <v>92</v>
      </c>
      <c r="N109" s="3">
        <f t="shared" si="10"/>
        <v>0.92</v>
      </c>
      <c r="O109" s="3">
        <v>91</v>
      </c>
      <c r="P109" s="3">
        <v>0.91</v>
      </c>
      <c r="Q109" s="17">
        <v>6.8681318681318687E-2</v>
      </c>
      <c r="R109" s="21">
        <v>0.18902367938674311</v>
      </c>
      <c r="S109" s="3">
        <v>5</v>
      </c>
      <c r="T109" s="3">
        <v>690.92</v>
      </c>
      <c r="U109" s="3">
        <v>802.83</v>
      </c>
      <c r="V109" s="26">
        <v>1.83497202497734</v>
      </c>
      <c r="W109" s="18">
        <v>4.83138514085125E-2</v>
      </c>
      <c r="X109" s="18">
        <v>-0.152369364074599</v>
      </c>
      <c r="Y109" s="18">
        <v>1.4111820863665701</v>
      </c>
      <c r="Z109" s="18">
        <v>-0.489690551833593</v>
      </c>
      <c r="AA109" s="18">
        <v>-0.57018560001177698</v>
      </c>
      <c r="AB109" s="18">
        <v>-0.47161035285075797</v>
      </c>
      <c r="AC109" s="18">
        <v>1.4310307520104499</v>
      </c>
      <c r="AD109" s="18">
        <v>1.55498008475932</v>
      </c>
      <c r="AE109" s="21">
        <v>-0.337212242995586</v>
      </c>
      <c r="AF109" s="3">
        <v>44.104399999999998</v>
      </c>
      <c r="AG109" s="3">
        <v>0.117587</v>
      </c>
      <c r="AH109" s="3">
        <v>0.79140699999999997</v>
      </c>
      <c r="AI109" s="3">
        <v>11.3157</v>
      </c>
      <c r="AJ109" s="3">
        <v>0.43097200000000002</v>
      </c>
      <c r="AK109" s="3">
        <v>1.7204299999999999</v>
      </c>
      <c r="AL109" s="3">
        <v>6.4354700000000001E-2</v>
      </c>
      <c r="AM109" s="3">
        <v>3.0767900000000001E-2</v>
      </c>
      <c r="AN109" s="3">
        <v>3.7262300000000002</v>
      </c>
      <c r="AO109" s="3">
        <v>7.5831200000000001</v>
      </c>
      <c r="AP109" s="3">
        <v>0.300589</v>
      </c>
      <c r="AQ109" s="3">
        <v>2.5812499999999998</v>
      </c>
      <c r="AR109" s="3">
        <v>0</v>
      </c>
      <c r="AS109" s="3">
        <v>0.31293199999999999</v>
      </c>
      <c r="AT109" s="3">
        <v>0.91390899999999997</v>
      </c>
      <c r="AU109" s="3">
        <v>0</v>
      </c>
      <c r="AV109" s="3">
        <v>5.7580399999999999E-3</v>
      </c>
      <c r="AW109" s="3">
        <v>-0.341422</v>
      </c>
      <c r="AX109" s="3">
        <v>0.45048300000000002</v>
      </c>
      <c r="AY109" s="3">
        <v>0.72606499999999996</v>
      </c>
      <c r="AZ109" s="21">
        <v>6.8275199999999998</v>
      </c>
      <c r="BA109" s="3">
        <v>111.91</v>
      </c>
      <c r="BB109" s="3">
        <v>4</v>
      </c>
    </row>
    <row r="110" spans="1:54" ht="78.75" customHeight="1" x14ac:dyDescent="0.25">
      <c r="A110" s="2">
        <v>108</v>
      </c>
      <c r="B110" s="3">
        <v>3</v>
      </c>
      <c r="C110" s="2">
        <v>2</v>
      </c>
      <c r="D110" s="9">
        <v>85</v>
      </c>
      <c r="E110" s="3" t="s">
        <v>16</v>
      </c>
      <c r="F110" s="3">
        <f t="shared" si="14"/>
        <v>1</v>
      </c>
      <c r="G110" s="12"/>
      <c r="H110" s="3" t="s">
        <v>17</v>
      </c>
      <c r="I110" s="3">
        <f t="shared" si="9"/>
        <v>1</v>
      </c>
      <c r="J110" s="3" t="s">
        <v>22</v>
      </c>
      <c r="K110" s="3">
        <v>5</v>
      </c>
      <c r="L110" s="6" t="s">
        <v>143</v>
      </c>
      <c r="M110" s="3">
        <v>92</v>
      </c>
      <c r="N110" s="3">
        <f t="shared" si="10"/>
        <v>0.92</v>
      </c>
      <c r="O110" s="3">
        <v>91</v>
      </c>
      <c r="P110" s="3">
        <v>0.91</v>
      </c>
      <c r="Q110" s="17">
        <v>-0.19464285714285709</v>
      </c>
      <c r="R110" s="21">
        <v>0.37206190281162832</v>
      </c>
      <c r="S110" s="3">
        <v>6</v>
      </c>
      <c r="T110" s="3">
        <v>802.83</v>
      </c>
      <c r="U110" s="3">
        <v>847.1</v>
      </c>
      <c r="V110" s="26">
        <v>-0.194286740403806</v>
      </c>
      <c r="W110" s="18">
        <v>0.63684830843913098</v>
      </c>
      <c r="X110" s="18">
        <v>0.90135547849841702</v>
      </c>
      <c r="Y110" s="18">
        <v>7.5451269958875702E-2</v>
      </c>
      <c r="Z110" s="18">
        <v>0.73576393482364399</v>
      </c>
      <c r="AA110" s="18">
        <v>1.27672125077089</v>
      </c>
      <c r="AB110" s="18">
        <v>0.64600275751970704</v>
      </c>
      <c r="AC110" s="18">
        <v>-1.4505563134722199</v>
      </c>
      <c r="AD110" s="18">
        <v>-0.71288071061045999</v>
      </c>
      <c r="AE110" s="21">
        <v>0.75544998988494905</v>
      </c>
      <c r="AF110" s="3">
        <v>17.189299999999999</v>
      </c>
      <c r="AG110" s="3">
        <v>4.9261199999999998E-2</v>
      </c>
      <c r="AH110" s="3">
        <v>0.60411400000000004</v>
      </c>
      <c r="AI110" s="3">
        <v>1.3827400000000001</v>
      </c>
      <c r="AJ110" s="3">
        <v>0.14358799999999999</v>
      </c>
      <c r="AK110" s="3">
        <v>1.0985400000000001</v>
      </c>
      <c r="AL110" s="3">
        <v>0.35246300000000003</v>
      </c>
      <c r="AM110" s="3">
        <v>1.0414099999999999</v>
      </c>
      <c r="AN110" s="3">
        <v>7.7803800000000001</v>
      </c>
      <c r="AO110" s="3">
        <v>10.8721</v>
      </c>
      <c r="AP110" s="3">
        <v>0.25495099999999998</v>
      </c>
      <c r="AQ110" s="3">
        <v>2.3735400000000002</v>
      </c>
      <c r="AR110" s="3">
        <v>0.271125</v>
      </c>
      <c r="AS110" s="3">
        <v>0.100802</v>
      </c>
      <c r="AT110" s="3">
        <v>6.1203900000000004</v>
      </c>
      <c r="AU110" s="3">
        <v>0</v>
      </c>
      <c r="AV110" s="3">
        <v>1.44914E-2</v>
      </c>
      <c r="AW110" s="3">
        <v>-0.31612600000000002</v>
      </c>
      <c r="AX110" s="3">
        <v>11.685499999999999</v>
      </c>
      <c r="AY110" s="3">
        <v>0.78528100000000001</v>
      </c>
      <c r="AZ110" s="21">
        <v>4.7584200000000001</v>
      </c>
      <c r="BA110" s="3">
        <v>44.273000000000003</v>
      </c>
      <c r="BB110" s="3">
        <v>5</v>
      </c>
    </row>
    <row r="111" spans="1:54" ht="78.75" customHeight="1" x14ac:dyDescent="0.25">
      <c r="A111" s="2">
        <v>109</v>
      </c>
      <c r="B111" s="3">
        <v>3</v>
      </c>
      <c r="C111" s="2">
        <v>2</v>
      </c>
      <c r="D111" s="9">
        <v>85</v>
      </c>
      <c r="E111" s="3" t="s">
        <v>16</v>
      </c>
      <c r="F111" s="3">
        <f>IF(E222="Happy", 1,2)</f>
        <v>1</v>
      </c>
      <c r="G111" s="12"/>
      <c r="H111" s="3" t="s">
        <v>17</v>
      </c>
      <c r="I111" s="3">
        <f t="shared" si="9"/>
        <v>1</v>
      </c>
      <c r="J111" s="3" t="s">
        <v>23</v>
      </c>
      <c r="K111" s="3">
        <v>6</v>
      </c>
      <c r="L111" s="6" t="s">
        <v>154</v>
      </c>
      <c r="M111" s="3">
        <v>92</v>
      </c>
      <c r="N111" s="3">
        <f t="shared" si="10"/>
        <v>0.92</v>
      </c>
      <c r="O111" s="3">
        <v>91</v>
      </c>
      <c r="P111" s="3">
        <v>0.91</v>
      </c>
      <c r="Q111" s="17">
        <v>-6.7245370370370372E-2</v>
      </c>
      <c r="R111" s="21">
        <v>0.33940636810636049</v>
      </c>
      <c r="S111" s="3">
        <v>7</v>
      </c>
      <c r="T111" s="3">
        <v>847.1</v>
      </c>
      <c r="U111" s="3">
        <v>885.93</v>
      </c>
      <c r="V111" s="26">
        <v>-0.30432127515815199</v>
      </c>
      <c r="W111" s="18">
        <v>2.0863942270979399</v>
      </c>
      <c r="X111" s="18">
        <v>1.72010749573053</v>
      </c>
      <c r="Y111" s="18">
        <v>-1.05163834047528</v>
      </c>
      <c r="Z111" s="18">
        <v>-5.7989096423420802E-2</v>
      </c>
      <c r="AA111" s="18">
        <v>0.261918524507882</v>
      </c>
      <c r="AB111" s="18">
        <v>-2.3398194903734302</v>
      </c>
      <c r="AC111" s="18">
        <v>1.5893336534424801E-2</v>
      </c>
      <c r="AD111" s="18">
        <v>-0.45640752796287498</v>
      </c>
      <c r="AE111" s="21">
        <v>0.558653297403777</v>
      </c>
      <c r="AF111" s="3">
        <v>5.5670099999999998</v>
      </c>
      <c r="AG111" s="3">
        <v>0.27488200000000002</v>
      </c>
      <c r="AH111" s="3">
        <v>1.01448</v>
      </c>
      <c r="AI111" s="3">
        <v>7.4536100000000003</v>
      </c>
      <c r="AJ111" s="3">
        <v>8.2210000000000005E-2</v>
      </c>
      <c r="AK111" s="3">
        <v>0.81889199999999995</v>
      </c>
      <c r="AL111" s="3">
        <v>0.21649499999999999</v>
      </c>
      <c r="AM111" s="3">
        <v>0.32313199999999997</v>
      </c>
      <c r="AN111" s="3">
        <v>5.7282999999999999</v>
      </c>
      <c r="AO111" s="3">
        <v>6.8659800000000004</v>
      </c>
      <c r="AP111" s="3">
        <v>6.2879199999999996E-2</v>
      </c>
      <c r="AQ111" s="3">
        <v>1.7689600000000001</v>
      </c>
      <c r="AR111" s="3">
        <v>0</v>
      </c>
      <c r="AS111" s="3">
        <v>2.43086E-2</v>
      </c>
      <c r="AT111" s="3">
        <v>-0.257355</v>
      </c>
      <c r="AU111" s="3">
        <v>0</v>
      </c>
      <c r="AV111" s="3">
        <v>0.119807</v>
      </c>
      <c r="AW111" s="3">
        <v>0.57598499999999997</v>
      </c>
      <c r="AX111" s="3">
        <v>2.1958799999999998</v>
      </c>
      <c r="AY111" s="3">
        <v>0.57274199999999997</v>
      </c>
      <c r="AZ111" s="21">
        <v>6.9902699999999998</v>
      </c>
      <c r="BA111" s="3">
        <v>38.826000000000001</v>
      </c>
      <c r="BB111" s="3">
        <v>6</v>
      </c>
    </row>
    <row r="112" spans="1:54" s="3" customFormat="1" ht="78.75" customHeight="1" x14ac:dyDescent="0.25">
      <c r="A112" s="2">
        <v>110</v>
      </c>
      <c r="B112" s="3">
        <v>3</v>
      </c>
      <c r="C112" s="2">
        <v>2</v>
      </c>
      <c r="D112" s="9">
        <v>85</v>
      </c>
      <c r="E112" s="3" t="s">
        <v>16</v>
      </c>
      <c r="F112" s="3">
        <f>IF(E223="Happy", 1,2)</f>
        <v>1</v>
      </c>
      <c r="G112" s="11"/>
      <c r="H112" s="3" t="s">
        <v>17</v>
      </c>
      <c r="I112" s="3">
        <f t="shared" si="9"/>
        <v>1</v>
      </c>
      <c r="J112" s="3" t="s">
        <v>24</v>
      </c>
      <c r="K112" s="3">
        <v>7</v>
      </c>
      <c r="L112" s="6" t="s">
        <v>175</v>
      </c>
      <c r="M112" s="3">
        <v>92</v>
      </c>
      <c r="N112" s="3">
        <f t="shared" si="10"/>
        <v>0.92</v>
      </c>
      <c r="O112" s="3">
        <v>91</v>
      </c>
      <c r="P112" s="3">
        <v>0.91</v>
      </c>
      <c r="Q112" s="17">
        <v>0.1</v>
      </c>
      <c r="R112" s="21">
        <v>0.34880749227427249</v>
      </c>
      <c r="S112" s="3">
        <v>8</v>
      </c>
      <c r="T112" s="3">
        <v>885.93</v>
      </c>
      <c r="U112" s="3">
        <v>917.63</v>
      </c>
      <c r="V112" s="26">
        <v>0.26433641297412103</v>
      </c>
      <c r="W112" s="18">
        <v>1.2901270801348299</v>
      </c>
      <c r="X112" s="18">
        <v>1.2054153696741601</v>
      </c>
      <c r="Y112" s="18">
        <v>-7.0399011035010103E-2</v>
      </c>
      <c r="Z112" s="18">
        <v>-0.56304657178783901</v>
      </c>
      <c r="AA112" s="18">
        <v>-0.61944190712854197</v>
      </c>
      <c r="AB112" s="18">
        <v>-1.1621045332548601</v>
      </c>
      <c r="AC112" s="18">
        <v>0.69568399249646296</v>
      </c>
      <c r="AD112" s="18">
        <v>-0.48484548707509401</v>
      </c>
      <c r="AE112" s="21">
        <v>-1.37112919453846</v>
      </c>
      <c r="AF112" s="3">
        <v>8.1060599999999994</v>
      </c>
      <c r="AG112" s="3">
        <v>1.0549999999999999</v>
      </c>
      <c r="AH112" s="3">
        <v>1.31917</v>
      </c>
      <c r="AI112" s="3">
        <v>13.2197</v>
      </c>
      <c r="AJ112" s="3">
        <v>0.173653</v>
      </c>
      <c r="AK112" s="3">
        <v>0.96293099999999998</v>
      </c>
      <c r="AL112" s="3">
        <v>0</v>
      </c>
      <c r="AM112" s="3">
        <v>0</v>
      </c>
      <c r="AN112" s="3">
        <v>-0.42881599999999997</v>
      </c>
      <c r="AO112" s="3">
        <v>6.0606099999999996</v>
      </c>
      <c r="AP112" s="3">
        <v>0.129521</v>
      </c>
      <c r="AQ112" s="3">
        <v>2.0134500000000002</v>
      </c>
      <c r="AR112" s="3">
        <v>0</v>
      </c>
      <c r="AS112" s="3">
        <v>0.25063800000000003</v>
      </c>
      <c r="AT112" s="3">
        <v>2.0686</v>
      </c>
      <c r="AU112" s="3">
        <v>0</v>
      </c>
      <c r="AV112" s="3">
        <v>0</v>
      </c>
      <c r="AW112" s="3">
        <v>-0.34759200000000001</v>
      </c>
      <c r="AX112" s="3">
        <v>0</v>
      </c>
      <c r="AY112" s="3">
        <v>0</v>
      </c>
      <c r="AZ112" s="21">
        <v>-0.459621</v>
      </c>
      <c r="BA112" s="3">
        <v>31.698</v>
      </c>
      <c r="BB112" s="3">
        <v>7</v>
      </c>
    </row>
    <row r="113" spans="1:54" s="3" customFormat="1" ht="110.25" customHeight="1" x14ac:dyDescent="0.25">
      <c r="A113" s="2">
        <v>111</v>
      </c>
      <c r="B113" s="3">
        <v>3</v>
      </c>
      <c r="C113" s="2">
        <v>2</v>
      </c>
      <c r="D113" s="9">
        <v>85</v>
      </c>
      <c r="E113" s="3" t="s">
        <v>16</v>
      </c>
      <c r="F113" s="3">
        <f t="shared" ref="F113:F120" si="15">IF(E223="Happy", 1,2)</f>
        <v>1</v>
      </c>
      <c r="G113" s="11"/>
      <c r="H113" s="3" t="s">
        <v>17</v>
      </c>
      <c r="I113" s="3">
        <f t="shared" si="9"/>
        <v>1</v>
      </c>
      <c r="J113" s="3" t="s">
        <v>25</v>
      </c>
      <c r="K113" s="3">
        <v>8</v>
      </c>
      <c r="L113" s="6" t="s">
        <v>211</v>
      </c>
      <c r="M113" s="3">
        <v>92</v>
      </c>
      <c r="N113" s="3">
        <f t="shared" si="10"/>
        <v>0.92</v>
      </c>
      <c r="O113" s="3">
        <v>91</v>
      </c>
      <c r="P113" s="3">
        <v>0.91</v>
      </c>
      <c r="Q113" s="17">
        <v>0.13062499999999999</v>
      </c>
      <c r="R113" s="21">
        <v>0.15924907490200019</v>
      </c>
      <c r="S113" s="3">
        <v>9</v>
      </c>
      <c r="T113" s="3">
        <v>917.63</v>
      </c>
      <c r="U113" s="3">
        <v>979.03</v>
      </c>
      <c r="V113" s="26">
        <v>1.3106669735997101</v>
      </c>
      <c r="W113" s="18">
        <v>0.596201234792892</v>
      </c>
      <c r="X113" s="18">
        <v>0.42287251794420899</v>
      </c>
      <c r="Y113" s="18">
        <v>0.72164331891407796</v>
      </c>
      <c r="Z113" s="18">
        <v>0.15658365183995299</v>
      </c>
      <c r="AA113" s="18">
        <v>0.26297596600415701</v>
      </c>
      <c r="AB113" s="18">
        <v>-0.82925279792806805</v>
      </c>
      <c r="AC113" s="18">
        <v>0.41365960571539301</v>
      </c>
      <c r="AD113" s="18">
        <v>0.67978195993186596</v>
      </c>
      <c r="AE113" s="21">
        <v>-0.35483582739688502</v>
      </c>
      <c r="AF113" s="3">
        <v>9.6383200000000002</v>
      </c>
      <c r="AG113" s="3">
        <v>5.29255E-2</v>
      </c>
      <c r="AH113" s="3">
        <v>0.61453999999999998</v>
      </c>
      <c r="AI113" s="3">
        <v>13.0596</v>
      </c>
      <c r="AJ113" s="3">
        <v>0.100045</v>
      </c>
      <c r="AK113" s="3">
        <v>0.73746500000000004</v>
      </c>
      <c r="AL113" s="3">
        <v>0.25415399999999999</v>
      </c>
      <c r="AM113" s="3">
        <v>0.44858300000000001</v>
      </c>
      <c r="AN113" s="3">
        <v>5.1523300000000001</v>
      </c>
      <c r="AO113" s="3">
        <v>2.8738999999999999</v>
      </c>
      <c r="AP113" s="3">
        <v>5.7760300000000001E-2</v>
      </c>
      <c r="AQ113" s="3">
        <v>1.8396699999999999</v>
      </c>
      <c r="AR113" s="3">
        <v>0</v>
      </c>
      <c r="AS113" s="3">
        <v>0.16675300000000001</v>
      </c>
      <c r="AT113" s="3">
        <v>2.3715700000000002</v>
      </c>
      <c r="AU113" s="3">
        <v>0.19550300000000001</v>
      </c>
      <c r="AV113" s="3">
        <v>0.17282</v>
      </c>
      <c r="AW113" s="3">
        <v>5.5609700000000002</v>
      </c>
      <c r="AX113" s="3">
        <v>1.0948199999999999</v>
      </c>
      <c r="AY113" s="3">
        <v>0.54764100000000004</v>
      </c>
      <c r="AZ113" s="21">
        <v>3.3213200000000001</v>
      </c>
      <c r="BA113" s="3">
        <v>61.405000000000001</v>
      </c>
      <c r="BB113" s="3">
        <v>8</v>
      </c>
    </row>
    <row r="114" spans="1:54" s="3" customFormat="1" ht="126" customHeight="1" x14ac:dyDescent="0.25">
      <c r="A114" s="2">
        <v>112</v>
      </c>
      <c r="B114" s="3">
        <v>3</v>
      </c>
      <c r="C114" s="2">
        <v>2</v>
      </c>
      <c r="D114" s="9">
        <v>85</v>
      </c>
      <c r="E114" s="3" t="s">
        <v>16</v>
      </c>
      <c r="F114" s="3">
        <f t="shared" si="15"/>
        <v>1</v>
      </c>
      <c r="G114" s="11" t="s">
        <v>26</v>
      </c>
      <c r="H114" s="3" t="s">
        <v>26</v>
      </c>
      <c r="I114" s="3">
        <f t="shared" si="9"/>
        <v>2</v>
      </c>
      <c r="J114" s="3" t="s">
        <v>27</v>
      </c>
      <c r="K114" s="3">
        <v>1</v>
      </c>
      <c r="L114" s="6" t="s">
        <v>185</v>
      </c>
      <c r="M114" s="3">
        <v>93</v>
      </c>
      <c r="N114" s="3">
        <f t="shared" si="10"/>
        <v>0.93</v>
      </c>
      <c r="O114" s="3">
        <v>91</v>
      </c>
      <c r="P114" s="3">
        <v>0.91</v>
      </c>
      <c r="Q114" s="17">
        <v>0.16190476190476191</v>
      </c>
      <c r="R114" s="21">
        <v>0.30873525927153239</v>
      </c>
      <c r="S114" s="3">
        <v>2</v>
      </c>
      <c r="T114" s="3">
        <v>2.69</v>
      </c>
      <c r="U114" s="3">
        <v>87.37</v>
      </c>
      <c r="V114" s="26">
        <v>0.25185073903664901</v>
      </c>
      <c r="W114" s="18">
        <v>-1.5068024147296499</v>
      </c>
      <c r="X114" s="18">
        <v>-1.43951454447438</v>
      </c>
      <c r="Y114" s="18">
        <v>1.27934362276074</v>
      </c>
      <c r="Z114" s="18">
        <v>1.7982760426626501</v>
      </c>
      <c r="AA114" s="18">
        <v>1.7258951095753099</v>
      </c>
      <c r="AB114" s="18">
        <v>0.35033708681868903</v>
      </c>
      <c r="AC114" s="18">
        <v>-1.2202299674964301</v>
      </c>
      <c r="AD114" s="18">
        <v>0.238594930714259</v>
      </c>
      <c r="AE114" s="21">
        <v>1.4589247339034701</v>
      </c>
      <c r="AF114" s="3">
        <v>11.750500000000001</v>
      </c>
      <c r="AG114" s="3">
        <v>7.0755999999999999E-2</v>
      </c>
      <c r="AH114" s="3">
        <v>1.78331</v>
      </c>
      <c r="AI114" s="3">
        <v>11.126899999999999</v>
      </c>
      <c r="AJ114" s="3">
        <v>0.10792</v>
      </c>
      <c r="AK114" s="3">
        <v>0.52680400000000005</v>
      </c>
      <c r="AL114" s="3">
        <v>0.60949699999999996</v>
      </c>
      <c r="AM114" s="3">
        <v>0.104931</v>
      </c>
      <c r="AN114" s="3">
        <v>4.7589800000000002</v>
      </c>
      <c r="AO114" s="3">
        <v>4.1814299999999998</v>
      </c>
      <c r="AP114" s="3">
        <v>0.12059599999999999</v>
      </c>
      <c r="AQ114" s="3">
        <v>1.38629</v>
      </c>
      <c r="AR114" s="3">
        <v>0.212615</v>
      </c>
      <c r="AS114" s="3">
        <v>2.33809E-2</v>
      </c>
      <c r="AT114" s="3">
        <v>3.6704300000000001</v>
      </c>
      <c r="AU114" s="3">
        <v>0</v>
      </c>
      <c r="AV114" s="3">
        <v>0.105341</v>
      </c>
      <c r="AW114" s="3">
        <v>0.45196199999999997</v>
      </c>
      <c r="AX114" s="3">
        <v>0.66619399999999995</v>
      </c>
      <c r="AY114" s="3">
        <v>0.87320600000000004</v>
      </c>
      <c r="AZ114" s="21">
        <v>8.2424099999999996</v>
      </c>
      <c r="BA114" s="3">
        <v>84.679000000000002</v>
      </c>
      <c r="BB114" s="3">
        <v>1</v>
      </c>
    </row>
    <row r="115" spans="1:54" s="3" customFormat="1" ht="63" customHeight="1" x14ac:dyDescent="0.25">
      <c r="A115" s="2">
        <v>113</v>
      </c>
      <c r="B115" s="3">
        <v>3</v>
      </c>
      <c r="C115" s="2">
        <v>2</v>
      </c>
      <c r="D115" s="9">
        <v>85</v>
      </c>
      <c r="E115" s="3" t="s">
        <v>16</v>
      </c>
      <c r="F115" s="3">
        <f t="shared" si="15"/>
        <v>1</v>
      </c>
      <c r="G115" s="11"/>
      <c r="H115" s="3" t="s">
        <v>26</v>
      </c>
      <c r="I115" s="3">
        <f t="shared" si="9"/>
        <v>2</v>
      </c>
      <c r="J115" s="3" t="s">
        <v>28</v>
      </c>
      <c r="K115" s="3">
        <v>2</v>
      </c>
      <c r="L115" s="6" t="s">
        <v>156</v>
      </c>
      <c r="M115" s="3">
        <v>93</v>
      </c>
      <c r="N115" s="3">
        <f t="shared" si="10"/>
        <v>0.93</v>
      </c>
      <c r="O115" s="3">
        <v>91</v>
      </c>
      <c r="P115" s="3">
        <v>0.91</v>
      </c>
      <c r="Q115" s="17">
        <v>0.14166666666666669</v>
      </c>
      <c r="R115" s="21">
        <v>0.1641476300299351</v>
      </c>
      <c r="S115" s="3">
        <v>3</v>
      </c>
      <c r="T115" s="3">
        <v>87.37</v>
      </c>
      <c r="U115" s="3">
        <v>121.71</v>
      </c>
      <c r="V115" s="26">
        <v>1.4407148520969899</v>
      </c>
      <c r="W115" s="18">
        <v>-0.17901097700813301</v>
      </c>
      <c r="X115" s="18">
        <v>9.1635866538529898E-2</v>
      </c>
      <c r="Y115" s="18">
        <v>1.2767210900945201</v>
      </c>
      <c r="Z115" s="18">
        <v>1.47584182951882</v>
      </c>
      <c r="AA115" s="18">
        <v>1.3561999180714901</v>
      </c>
      <c r="AB115" s="18">
        <v>9.7013531720970506E-2</v>
      </c>
      <c r="AC115" s="18">
        <v>-0.43588581109982399</v>
      </c>
      <c r="AD115" s="18">
        <v>0.25746497834947002</v>
      </c>
      <c r="AE115" s="21">
        <v>-0.65884265831929201</v>
      </c>
      <c r="AF115" s="3">
        <v>17.2378</v>
      </c>
      <c r="AG115" s="3">
        <v>8.4796300000000005E-2</v>
      </c>
      <c r="AH115" s="3">
        <v>1.93086</v>
      </c>
      <c r="AI115" s="3">
        <v>11.8531</v>
      </c>
      <c r="AJ115" s="3">
        <v>7.0374500000000006E-2</v>
      </c>
      <c r="AK115" s="3">
        <v>0.47259099999999998</v>
      </c>
      <c r="AL115" s="3">
        <v>0.41958000000000001</v>
      </c>
      <c r="AM115" s="3">
        <v>0.25746400000000003</v>
      </c>
      <c r="AN115" s="3">
        <v>6.07158</v>
      </c>
      <c r="AO115" s="3">
        <v>2.2377600000000002</v>
      </c>
      <c r="AP115" s="3">
        <v>0.406837</v>
      </c>
      <c r="AQ115" s="3">
        <v>3.78321</v>
      </c>
      <c r="AR115" s="3">
        <v>0</v>
      </c>
      <c r="AS115" s="3">
        <v>0.18824199999999999</v>
      </c>
      <c r="AT115" s="3">
        <v>0.862676</v>
      </c>
      <c r="AU115" s="3">
        <v>0</v>
      </c>
      <c r="AV115" s="3">
        <v>4.6174899999999998E-2</v>
      </c>
      <c r="AW115" s="3">
        <v>-0.36409399999999997</v>
      </c>
      <c r="AX115" s="3">
        <v>0.769231</v>
      </c>
      <c r="AY115" s="3">
        <v>0.69961399999999996</v>
      </c>
      <c r="AZ115" s="21">
        <v>7.4223299999999997</v>
      </c>
      <c r="BA115" s="3">
        <v>34.338999999999999</v>
      </c>
      <c r="BB115" s="3">
        <v>2</v>
      </c>
    </row>
    <row r="116" spans="1:54" s="3" customFormat="1" ht="157.5" customHeight="1" x14ac:dyDescent="0.25">
      <c r="A116" s="2">
        <v>114</v>
      </c>
      <c r="B116" s="3">
        <v>3</v>
      </c>
      <c r="C116" s="2">
        <v>2</v>
      </c>
      <c r="D116" s="9">
        <v>85</v>
      </c>
      <c r="E116" s="3" t="s">
        <v>16</v>
      </c>
      <c r="F116" s="3">
        <f t="shared" si="15"/>
        <v>1</v>
      </c>
      <c r="G116" s="11"/>
      <c r="H116" s="3" t="s">
        <v>26</v>
      </c>
      <c r="I116" s="3">
        <f t="shared" si="9"/>
        <v>2</v>
      </c>
      <c r="J116" s="3" t="s">
        <v>29</v>
      </c>
      <c r="K116" s="3">
        <v>3</v>
      </c>
      <c r="L116" s="6" t="s">
        <v>212</v>
      </c>
      <c r="M116" s="3">
        <v>93</v>
      </c>
      <c r="N116" s="3">
        <f t="shared" si="10"/>
        <v>0.93</v>
      </c>
      <c r="O116" s="3">
        <v>91</v>
      </c>
      <c r="P116" s="3">
        <v>0.91</v>
      </c>
      <c r="Q116" s="17">
        <v>-2.898809523809524E-2</v>
      </c>
      <c r="R116" s="21">
        <v>0.10589590745715979</v>
      </c>
      <c r="S116" s="3">
        <v>4</v>
      </c>
      <c r="T116" s="3">
        <v>121.71</v>
      </c>
      <c r="U116" s="3">
        <v>193.34</v>
      </c>
      <c r="V116" s="26">
        <v>0.83185951081913201</v>
      </c>
      <c r="W116" s="18">
        <v>-0.62833854380045195</v>
      </c>
      <c r="X116" s="18">
        <v>-0.47328307067553799</v>
      </c>
      <c r="Y116" s="18">
        <v>0.87936992641068201</v>
      </c>
      <c r="Z116" s="18">
        <v>0.48783592313159602</v>
      </c>
      <c r="AA116" s="18">
        <v>0.306467511415428</v>
      </c>
      <c r="AB116" s="18">
        <v>-1.1674168282013999</v>
      </c>
      <c r="AC116" s="18">
        <v>1.09229284285343</v>
      </c>
      <c r="AD116" s="18">
        <v>0.12271689171493499</v>
      </c>
      <c r="AE116" s="21">
        <v>-0.35483582739688502</v>
      </c>
      <c r="AF116" s="3">
        <v>4.6746699999999999</v>
      </c>
      <c r="AG116" s="3">
        <v>4.17475E-2</v>
      </c>
      <c r="AH116" s="3">
        <v>1.77288</v>
      </c>
      <c r="AI116" s="3">
        <v>9.7012</v>
      </c>
      <c r="AJ116" s="3">
        <v>1.9518000000000001E-2</v>
      </c>
      <c r="AK116" s="3">
        <v>0.41359699999999999</v>
      </c>
      <c r="AL116" s="3">
        <v>0.31834699999999999</v>
      </c>
      <c r="AM116" s="3">
        <v>9.7728599999999999E-2</v>
      </c>
      <c r="AN116" s="3">
        <v>4.6994400000000001</v>
      </c>
      <c r="AO116" s="3">
        <v>1.6587499999999999</v>
      </c>
      <c r="AP116" s="3">
        <v>0.109748</v>
      </c>
      <c r="AQ116" s="3">
        <v>1.39781</v>
      </c>
      <c r="AR116" s="3">
        <v>0</v>
      </c>
      <c r="AS116" s="3">
        <v>4.9144199999999999E-2</v>
      </c>
      <c r="AT116" s="3">
        <v>0.13832900000000001</v>
      </c>
      <c r="AU116" s="3">
        <v>0</v>
      </c>
      <c r="AV116" s="3">
        <v>0.119351</v>
      </c>
      <c r="AW116" s="3">
        <v>0.30458200000000002</v>
      </c>
      <c r="AX116" s="3">
        <v>1.47445</v>
      </c>
      <c r="AY116" s="3">
        <v>0.12958700000000001</v>
      </c>
      <c r="AZ116" s="21">
        <v>3.82884</v>
      </c>
      <c r="BA116" s="3">
        <v>71.632000000000005</v>
      </c>
      <c r="BB116" s="3">
        <v>3</v>
      </c>
    </row>
    <row r="117" spans="1:54" s="3" customFormat="1" ht="189" customHeight="1" x14ac:dyDescent="0.25">
      <c r="A117" s="2">
        <v>115</v>
      </c>
      <c r="B117" s="3">
        <v>3</v>
      </c>
      <c r="C117" s="2">
        <v>2</v>
      </c>
      <c r="D117" s="9">
        <v>85</v>
      </c>
      <c r="E117" s="3" t="s">
        <v>16</v>
      </c>
      <c r="F117" s="3">
        <f t="shared" si="15"/>
        <v>1</v>
      </c>
      <c r="G117" s="11"/>
      <c r="H117" s="3" t="s">
        <v>26</v>
      </c>
      <c r="I117" s="3">
        <f t="shared" si="9"/>
        <v>2</v>
      </c>
      <c r="J117" s="3" t="s">
        <v>30</v>
      </c>
      <c r="K117" s="3">
        <v>4</v>
      </c>
      <c r="L117" s="6" t="s">
        <v>213</v>
      </c>
      <c r="M117" s="3">
        <v>93</v>
      </c>
      <c r="N117" s="3">
        <f t="shared" si="10"/>
        <v>0.93</v>
      </c>
      <c r="O117" s="3">
        <v>91</v>
      </c>
      <c r="P117" s="3">
        <v>0.91</v>
      </c>
      <c r="Q117" s="17">
        <v>0.220787037037037</v>
      </c>
      <c r="R117" s="21">
        <v>0.34129827966813708</v>
      </c>
      <c r="S117" s="3">
        <v>6</v>
      </c>
      <c r="T117" s="3">
        <v>201.2</v>
      </c>
      <c r="U117" s="3">
        <v>301.08</v>
      </c>
      <c r="V117" s="26">
        <v>0.57048928254299802</v>
      </c>
      <c r="W117" s="18">
        <v>-0.74323032968490399</v>
      </c>
      <c r="X117" s="18">
        <v>-0.78878775717419203</v>
      </c>
      <c r="Y117" s="18">
        <v>0.80706295432791197</v>
      </c>
      <c r="Z117" s="18">
        <v>0.66879781207795597</v>
      </c>
      <c r="AA117" s="18">
        <v>0.35449582195587498</v>
      </c>
      <c r="AB117" s="18">
        <v>-0.251358437861398</v>
      </c>
      <c r="AC117" s="18">
        <v>0.549077608123267</v>
      </c>
      <c r="AD117" s="18">
        <v>0.61174347831758502</v>
      </c>
      <c r="AE117" s="21">
        <v>-1.31238391320079</v>
      </c>
      <c r="AF117" s="3">
        <v>4.27799</v>
      </c>
      <c r="AG117" s="3">
        <v>6.2289600000000001E-2</v>
      </c>
      <c r="AH117" s="3">
        <v>1.80301</v>
      </c>
      <c r="AI117" s="3">
        <v>5.9963899999999999</v>
      </c>
      <c r="AJ117" s="3">
        <v>0.20819299999999999</v>
      </c>
      <c r="AK117" s="3">
        <v>0.86309400000000003</v>
      </c>
      <c r="AL117" s="3">
        <v>0.180252</v>
      </c>
      <c r="AM117" s="3">
        <v>0.15182200000000001</v>
      </c>
      <c r="AN117" s="3">
        <v>4.5564999999999998</v>
      </c>
      <c r="AO117" s="3">
        <v>8.8684200000000004</v>
      </c>
      <c r="AP117" s="3">
        <v>8.3540699999999996E-2</v>
      </c>
      <c r="AQ117" s="3">
        <v>1.3358000000000001</v>
      </c>
      <c r="AR117" s="3">
        <v>1.34588</v>
      </c>
      <c r="AS117" s="3">
        <v>0.13858300000000001</v>
      </c>
      <c r="AT117" s="3">
        <v>4.04636</v>
      </c>
      <c r="AU117" s="3">
        <v>0.36050500000000002</v>
      </c>
      <c r="AV117" s="3">
        <v>0.16795099999999999</v>
      </c>
      <c r="AW117" s="3">
        <v>5.3180100000000001</v>
      </c>
      <c r="AX117" s="3">
        <v>0.32445400000000002</v>
      </c>
      <c r="AY117" s="3">
        <v>0.84884000000000004</v>
      </c>
      <c r="AZ117" s="21">
        <v>9.2165999999999997</v>
      </c>
      <c r="BA117" s="3">
        <v>99.879000000000005</v>
      </c>
      <c r="BB117" s="3">
        <v>4</v>
      </c>
    </row>
    <row r="118" spans="1:54" s="3" customFormat="1" ht="110.25" customHeight="1" x14ac:dyDescent="0.25">
      <c r="A118" s="2">
        <v>116</v>
      </c>
      <c r="B118" s="3">
        <v>3</v>
      </c>
      <c r="C118" s="2">
        <v>2</v>
      </c>
      <c r="D118" s="9">
        <v>85</v>
      </c>
      <c r="E118" s="3" t="s">
        <v>16</v>
      </c>
      <c r="F118" s="3">
        <f t="shared" si="15"/>
        <v>1</v>
      </c>
      <c r="G118" s="11"/>
      <c r="H118" s="3" t="s">
        <v>26</v>
      </c>
      <c r="I118" s="3">
        <f t="shared" si="9"/>
        <v>2</v>
      </c>
      <c r="J118" s="3" t="s">
        <v>31</v>
      </c>
      <c r="K118" s="3">
        <v>5</v>
      </c>
      <c r="L118" s="6" t="s">
        <v>167</v>
      </c>
      <c r="M118" s="3">
        <v>93</v>
      </c>
      <c r="N118" s="3">
        <f t="shared" si="10"/>
        <v>0.93</v>
      </c>
      <c r="O118" s="3">
        <v>91</v>
      </c>
      <c r="P118" s="3">
        <v>0.91</v>
      </c>
      <c r="Q118" s="17">
        <v>0.23125000000000001</v>
      </c>
      <c r="R118" s="21">
        <v>0.18735684771002739</v>
      </c>
      <c r="S118" s="3">
        <v>7</v>
      </c>
      <c r="T118" s="3">
        <v>301.08</v>
      </c>
      <c r="U118" s="3">
        <v>348.19</v>
      </c>
      <c r="V118" s="26">
        <v>-9.2190041405737291E-3</v>
      </c>
      <c r="W118" s="18">
        <v>-0.95943634718262105</v>
      </c>
      <c r="X118" s="18">
        <v>-1.5376833220913999</v>
      </c>
      <c r="Y118" s="18">
        <v>0.45388273369360099</v>
      </c>
      <c r="Z118" s="18">
        <v>-0.27869614600701198</v>
      </c>
      <c r="AA118" s="18">
        <v>-0.38939721516492098</v>
      </c>
      <c r="AB118" s="18">
        <v>0.94630366596819404</v>
      </c>
      <c r="AC118" s="18">
        <v>2.0027956510659202</v>
      </c>
      <c r="AD118" s="18">
        <v>-1.17214046150686</v>
      </c>
      <c r="AE118" s="21">
        <v>-1.97767422434983</v>
      </c>
      <c r="AF118" s="3">
        <v>12.8917</v>
      </c>
      <c r="AG118" s="3">
        <v>0.20322299999999999</v>
      </c>
      <c r="AH118" s="3">
        <v>2.6758099999999998</v>
      </c>
      <c r="AI118" s="3">
        <v>21.834399999999999</v>
      </c>
      <c r="AJ118" s="3">
        <v>0.112368</v>
      </c>
      <c r="AK118" s="3">
        <v>0.70327700000000004</v>
      </c>
      <c r="AL118" s="3">
        <v>0.178344</v>
      </c>
      <c r="AM118" s="3">
        <v>0.167133</v>
      </c>
      <c r="AN118" s="3">
        <v>5.2159500000000003</v>
      </c>
      <c r="AO118" s="3">
        <v>8.1273900000000001</v>
      </c>
      <c r="AP118" s="3">
        <v>0.119459</v>
      </c>
      <c r="AQ118" s="3">
        <v>1.39947</v>
      </c>
      <c r="AR118" s="3">
        <v>0</v>
      </c>
      <c r="AS118" s="3">
        <v>4.8530299999999998E-2</v>
      </c>
      <c r="AT118" s="3">
        <v>-0.40384999999999999</v>
      </c>
      <c r="AU118" s="3">
        <v>0.152866</v>
      </c>
      <c r="AV118" s="3">
        <v>5.1768700000000001E-2</v>
      </c>
      <c r="AW118" s="3">
        <v>4.4437199999999999</v>
      </c>
      <c r="AX118" s="3">
        <v>0.152866</v>
      </c>
      <c r="AY118" s="3">
        <v>7.0616300000000007E-2</v>
      </c>
      <c r="AZ118" s="21">
        <v>3.43892</v>
      </c>
      <c r="BA118" s="3">
        <v>47.106999999999999</v>
      </c>
      <c r="BB118" s="3">
        <v>5</v>
      </c>
    </row>
    <row r="119" spans="1:54" s="3" customFormat="1" ht="204.75" customHeight="1" x14ac:dyDescent="0.25">
      <c r="A119" s="2">
        <v>117</v>
      </c>
      <c r="B119" s="3">
        <v>3</v>
      </c>
      <c r="C119" s="2">
        <v>2</v>
      </c>
      <c r="D119" s="9">
        <v>85</v>
      </c>
      <c r="E119" s="3" t="s">
        <v>16</v>
      </c>
      <c r="F119" s="3">
        <f t="shared" si="15"/>
        <v>1</v>
      </c>
      <c r="G119" s="11" t="s">
        <v>38</v>
      </c>
      <c r="H119" s="3" t="s">
        <v>38</v>
      </c>
      <c r="I119" s="3">
        <f t="shared" si="9"/>
        <v>3</v>
      </c>
      <c r="J119" s="3" t="s">
        <v>39</v>
      </c>
      <c r="K119" s="3">
        <v>1</v>
      </c>
      <c r="L119" s="6" t="s">
        <v>214</v>
      </c>
      <c r="M119" s="3">
        <v>93</v>
      </c>
      <c r="N119" s="3">
        <f t="shared" si="10"/>
        <v>0.93</v>
      </c>
      <c r="O119" s="3">
        <v>89</v>
      </c>
      <c r="P119" s="3">
        <v>0.89</v>
      </c>
      <c r="Q119" s="17">
        <v>-1.8134920634920639E-2</v>
      </c>
      <c r="R119" s="21">
        <v>0.26698703474059687</v>
      </c>
      <c r="S119" s="3">
        <v>2</v>
      </c>
      <c r="T119" s="3">
        <v>31.5</v>
      </c>
      <c r="U119" s="3">
        <v>159.55000000000001</v>
      </c>
      <c r="V119" s="26">
        <v>-0.27242840845313998</v>
      </c>
      <c r="W119" s="18">
        <v>-9.8985105558748898E-2</v>
      </c>
      <c r="X119" s="18">
        <v>1.18720204054479E-2</v>
      </c>
      <c r="Y119" s="18">
        <v>0.53776631426008403</v>
      </c>
      <c r="Z119" s="18">
        <v>0.68643392837357597</v>
      </c>
      <c r="AA119" s="18">
        <v>0.61889030704040005</v>
      </c>
      <c r="AB119" s="18">
        <v>0.203259430651757</v>
      </c>
      <c r="AC119" s="18">
        <v>-1.0809539023418999</v>
      </c>
      <c r="AD119" s="18">
        <v>0.368293286291483</v>
      </c>
      <c r="AE119" s="21">
        <v>0.90378182526254902</v>
      </c>
      <c r="AF119" s="3">
        <v>3.5895000000000001</v>
      </c>
      <c r="AG119" s="3">
        <v>0.210429</v>
      </c>
      <c r="AH119" s="3">
        <v>2.8201900000000002</v>
      </c>
      <c r="AI119" s="3">
        <v>1.0684199999999999</v>
      </c>
      <c r="AJ119" s="3">
        <v>6.9718000000000002E-2</v>
      </c>
      <c r="AK119" s="3">
        <v>1.14941</v>
      </c>
      <c r="AL119" s="3">
        <v>0.59043999999999996</v>
      </c>
      <c r="AM119" s="3">
        <v>0.569442</v>
      </c>
      <c r="AN119" s="3">
        <v>8.3635999999999999</v>
      </c>
      <c r="AO119" s="3">
        <v>5.5951300000000002</v>
      </c>
      <c r="AP119" s="3">
        <v>0.41262799999999999</v>
      </c>
      <c r="AQ119" s="3">
        <v>2.3331400000000002</v>
      </c>
      <c r="AR119" s="3">
        <v>0</v>
      </c>
      <c r="AS119" s="3">
        <v>0.10574600000000001</v>
      </c>
      <c r="AT119" s="3">
        <v>1.2022600000000001</v>
      </c>
      <c r="AU119" s="3">
        <v>0.487348</v>
      </c>
      <c r="AV119" s="3">
        <v>0.118004</v>
      </c>
      <c r="AW119" s="3">
        <v>4.0607699999999998</v>
      </c>
      <c r="AX119" s="3">
        <v>1.9400200000000001</v>
      </c>
      <c r="AY119" s="3">
        <v>1.0192300000000001</v>
      </c>
      <c r="AZ119" s="21">
        <v>4.7385099999999998</v>
      </c>
      <c r="BA119" s="3">
        <v>128.047</v>
      </c>
      <c r="BB119" s="3">
        <v>1</v>
      </c>
    </row>
    <row r="120" spans="1:54" s="3" customFormat="1" ht="78.75" customHeight="1" x14ac:dyDescent="0.25">
      <c r="A120" s="2">
        <v>118</v>
      </c>
      <c r="B120" s="3">
        <v>3</v>
      </c>
      <c r="C120" s="2">
        <v>2</v>
      </c>
      <c r="D120" s="9">
        <v>85</v>
      </c>
      <c r="E120" s="3" t="s">
        <v>16</v>
      </c>
      <c r="F120" s="3">
        <f t="shared" si="15"/>
        <v>1</v>
      </c>
      <c r="G120" s="11"/>
      <c r="H120" s="3" t="s">
        <v>38</v>
      </c>
      <c r="I120" s="3">
        <f t="shared" si="9"/>
        <v>3</v>
      </c>
      <c r="J120" s="3" t="s">
        <v>40</v>
      </c>
      <c r="K120" s="3">
        <v>2</v>
      </c>
      <c r="L120" s="6" t="s">
        <v>190</v>
      </c>
      <c r="M120" s="3">
        <v>93</v>
      </c>
      <c r="N120" s="3">
        <f t="shared" si="10"/>
        <v>0.93</v>
      </c>
      <c r="O120" s="3">
        <v>89</v>
      </c>
      <c r="P120" s="3">
        <v>0.89</v>
      </c>
      <c r="Q120" s="17">
        <v>3.599999999999999E-2</v>
      </c>
      <c r="R120" s="21">
        <v>5.6833088953531272E-2</v>
      </c>
      <c r="S120" s="3">
        <v>3</v>
      </c>
      <c r="T120" s="3">
        <v>159.55000000000001</v>
      </c>
      <c r="U120" s="3">
        <v>202.43</v>
      </c>
      <c r="V120" s="26">
        <v>-8.3936178217846893E-2</v>
      </c>
      <c r="W120" s="18">
        <v>-1.49201105044912</v>
      </c>
      <c r="X120" s="18">
        <v>-1.6230536779045399</v>
      </c>
      <c r="Y120" s="18">
        <v>0.77120918630552804</v>
      </c>
      <c r="Z120" s="18">
        <v>1.95725668521157</v>
      </c>
      <c r="AA120" s="18">
        <v>1.8083073242526599</v>
      </c>
      <c r="AB120" s="18">
        <v>-0.88893799409212704</v>
      </c>
      <c r="AC120" s="18">
        <v>-0.158105293340082</v>
      </c>
      <c r="AD120" s="18">
        <v>-0.424780265024987</v>
      </c>
      <c r="AE120" s="21">
        <v>0.20030708124403199</v>
      </c>
      <c r="AF120" s="3">
        <v>0</v>
      </c>
      <c r="AG120" s="3">
        <v>0.23466899999999999</v>
      </c>
      <c r="AH120" s="3">
        <v>-0.39289000000000002</v>
      </c>
      <c r="AI120" s="3">
        <v>2.3798400000000002</v>
      </c>
      <c r="AJ120" s="3">
        <v>0.11171399999999999</v>
      </c>
      <c r="AK120" s="3">
        <v>1.0717699999999999</v>
      </c>
      <c r="AL120" s="3">
        <v>0</v>
      </c>
      <c r="AM120" s="3">
        <v>0</v>
      </c>
      <c r="AN120" s="3">
        <v>-0.49937300000000001</v>
      </c>
      <c r="AO120" s="3">
        <v>13.4671</v>
      </c>
      <c r="AP120" s="3">
        <v>0.372446</v>
      </c>
      <c r="AQ120" s="3">
        <v>2.0877699999999999</v>
      </c>
      <c r="AR120" s="3">
        <v>0</v>
      </c>
      <c r="AS120" s="3">
        <v>0.27212199999999998</v>
      </c>
      <c r="AT120" s="3">
        <v>0.24646499999999999</v>
      </c>
      <c r="AU120" s="3">
        <v>0</v>
      </c>
      <c r="AV120" s="3">
        <v>0.26745600000000003</v>
      </c>
      <c r="AW120" s="3">
        <v>2.1754899999999999</v>
      </c>
      <c r="AX120" s="3">
        <v>2.2678500000000001</v>
      </c>
      <c r="AY120" s="3">
        <v>0.15514500000000001</v>
      </c>
      <c r="AZ120" s="21">
        <v>1.7105600000000001</v>
      </c>
      <c r="BA120" s="3">
        <v>42.881999999999998</v>
      </c>
      <c r="BB120" s="3">
        <v>2</v>
      </c>
    </row>
    <row r="121" spans="1:54" s="3" customFormat="1" ht="78.75" customHeight="1" x14ac:dyDescent="0.25">
      <c r="A121" s="2">
        <v>119</v>
      </c>
      <c r="B121" s="3">
        <v>3</v>
      </c>
      <c r="C121" s="2">
        <v>2</v>
      </c>
      <c r="D121" s="9">
        <v>85</v>
      </c>
      <c r="E121" s="3" t="s">
        <v>16</v>
      </c>
      <c r="F121" s="3">
        <f>IF(E222="Happy", 1,2)</f>
        <v>1</v>
      </c>
      <c r="G121" s="11"/>
      <c r="H121" s="3" t="s">
        <v>38</v>
      </c>
      <c r="I121" s="3">
        <f t="shared" si="9"/>
        <v>3</v>
      </c>
      <c r="J121" s="3" t="s">
        <v>41</v>
      </c>
      <c r="K121" s="3">
        <v>3</v>
      </c>
      <c r="L121" s="6" t="s">
        <v>205</v>
      </c>
      <c r="M121" s="3">
        <v>93</v>
      </c>
      <c r="N121" s="3">
        <f t="shared" si="10"/>
        <v>0.93</v>
      </c>
      <c r="O121" s="3">
        <v>89</v>
      </c>
      <c r="P121" s="3">
        <v>0.89</v>
      </c>
      <c r="Q121" s="17">
        <v>4.5486111111111066E-3</v>
      </c>
      <c r="R121" s="21">
        <v>0.35689010263573778</v>
      </c>
      <c r="S121" s="3">
        <v>4</v>
      </c>
      <c r="T121" s="3">
        <v>202.43</v>
      </c>
      <c r="U121" s="3">
        <v>247.74</v>
      </c>
      <c r="V121" s="26">
        <v>1.28343162592781</v>
      </c>
      <c r="W121" s="18">
        <v>9.0657146734476196E-2</v>
      </c>
      <c r="X121" s="18">
        <v>-6.2330975477454197E-4</v>
      </c>
      <c r="Y121" s="18">
        <v>1.5164580405388799</v>
      </c>
      <c r="Z121" s="18">
        <v>0.53026484059642098</v>
      </c>
      <c r="AA121" s="18">
        <v>9.6718873977067604E-2</v>
      </c>
      <c r="AB121" s="18">
        <v>-1.25376766174417</v>
      </c>
      <c r="AC121" s="18">
        <v>0.123147480891659</v>
      </c>
      <c r="AD121" s="18">
        <v>0.108630799818229</v>
      </c>
      <c r="AE121" s="21">
        <v>0.33982712442098201</v>
      </c>
      <c r="AF121" s="3">
        <v>9.4304600000000001</v>
      </c>
      <c r="AG121" s="3">
        <v>0.51673000000000002</v>
      </c>
      <c r="AH121" s="3">
        <v>4.1393700000000004</v>
      </c>
      <c r="AI121" s="3">
        <v>5.6423800000000002</v>
      </c>
      <c r="AJ121" s="3">
        <v>0.22301299999999999</v>
      </c>
      <c r="AK121" s="3">
        <v>1.40594</v>
      </c>
      <c r="AL121" s="3">
        <v>0.980132</v>
      </c>
      <c r="AM121" s="3">
        <v>0.101341</v>
      </c>
      <c r="AN121" s="3">
        <v>4.1993099999999997</v>
      </c>
      <c r="AO121" s="3">
        <v>7.6291399999999996</v>
      </c>
      <c r="AP121" s="3">
        <v>0.146505</v>
      </c>
      <c r="AQ121" s="3">
        <v>1.31138</v>
      </c>
      <c r="AR121" s="3">
        <v>0.15894</v>
      </c>
      <c r="AS121" s="3">
        <v>5.5767400000000002E-2</v>
      </c>
      <c r="AT121" s="3">
        <v>3.8463699999999998</v>
      </c>
      <c r="AU121" s="3">
        <v>0.31788100000000002</v>
      </c>
      <c r="AV121" s="3">
        <v>0.290856</v>
      </c>
      <c r="AW121" s="3">
        <v>4.7282500000000001</v>
      </c>
      <c r="AX121" s="3">
        <v>0.52980099999999997</v>
      </c>
      <c r="AY121" s="3">
        <v>0.24453800000000001</v>
      </c>
      <c r="AZ121" s="21">
        <v>2.3551199999999999</v>
      </c>
      <c r="BA121" s="3">
        <v>45.314999999999998</v>
      </c>
      <c r="BB121" s="3">
        <v>3</v>
      </c>
    </row>
    <row r="122" spans="1:54" s="3" customFormat="1" ht="94.5" customHeight="1" x14ac:dyDescent="0.25">
      <c r="A122" s="2">
        <v>120</v>
      </c>
      <c r="B122" s="3">
        <v>3</v>
      </c>
      <c r="C122" s="2">
        <v>2</v>
      </c>
      <c r="D122" s="9">
        <v>85</v>
      </c>
      <c r="E122" s="3" t="s">
        <v>16</v>
      </c>
      <c r="F122" s="3">
        <f>IF(E223="Happy", 1,2)</f>
        <v>1</v>
      </c>
      <c r="G122" s="11"/>
      <c r="H122" s="3" t="s">
        <v>38</v>
      </c>
      <c r="I122" s="3">
        <f t="shared" si="9"/>
        <v>3</v>
      </c>
      <c r="J122" s="3" t="s">
        <v>42</v>
      </c>
      <c r="K122" s="3">
        <v>4</v>
      </c>
      <c r="L122" s="6" t="s">
        <v>215</v>
      </c>
      <c r="M122" s="3">
        <v>93</v>
      </c>
      <c r="N122" s="3">
        <f t="shared" si="10"/>
        <v>0.93</v>
      </c>
      <c r="O122" s="3">
        <v>89</v>
      </c>
      <c r="P122" s="3">
        <v>0.89</v>
      </c>
      <c r="Q122" s="17">
        <v>3.7037037037037028E-2</v>
      </c>
      <c r="R122" s="21">
        <v>0.25341799267681392</v>
      </c>
      <c r="S122" s="3">
        <v>5</v>
      </c>
      <c r="T122" s="3">
        <v>247.74</v>
      </c>
      <c r="U122" s="3">
        <v>303.02999999999997</v>
      </c>
      <c r="V122" s="26">
        <v>-1.10510888297607</v>
      </c>
      <c r="W122" s="18">
        <v>-0.89079383498753495</v>
      </c>
      <c r="X122" s="18">
        <v>-1.1525855027148699</v>
      </c>
      <c r="Y122" s="18">
        <v>-0.15274653675414099</v>
      </c>
      <c r="Z122" s="18">
        <v>-0.63691378351876904</v>
      </c>
      <c r="AA122" s="18">
        <v>9.3785326600306806E-2</v>
      </c>
      <c r="AB122" s="18">
        <v>-0.377916052764246</v>
      </c>
      <c r="AC122" s="18">
        <v>-0.21288978434269701</v>
      </c>
      <c r="AD122" s="18">
        <v>-5.9183625870656703E-3</v>
      </c>
      <c r="AE122" s="21">
        <v>1.0256782840381999</v>
      </c>
      <c r="AF122" s="3">
        <v>7.8827400000000001</v>
      </c>
      <c r="AG122" s="3">
        <v>0.200215</v>
      </c>
      <c r="AH122" s="3">
        <v>2.7915800000000002</v>
      </c>
      <c r="AI122" s="3">
        <v>6.4929399999999999</v>
      </c>
      <c r="AJ122" s="3">
        <v>8.7044099999999999E-2</v>
      </c>
      <c r="AK122" s="3">
        <v>1.1431100000000001</v>
      </c>
      <c r="AL122" s="3">
        <v>1.3897900000000001</v>
      </c>
      <c r="AM122" s="3">
        <v>7.6345099999999999E-2</v>
      </c>
      <c r="AN122" s="3">
        <v>3.8781099999999999</v>
      </c>
      <c r="AO122" s="3">
        <v>7.7741600000000002</v>
      </c>
      <c r="AP122" s="3">
        <v>6.5000000000000002E-2</v>
      </c>
      <c r="AQ122" s="3">
        <v>1.1038399999999999</v>
      </c>
      <c r="AR122" s="3">
        <v>0</v>
      </c>
      <c r="AS122" s="3">
        <v>7.1082900000000004E-2</v>
      </c>
      <c r="AT122" s="3">
        <v>1.88351</v>
      </c>
      <c r="AU122" s="3">
        <v>1.78067</v>
      </c>
      <c r="AV122" s="3">
        <v>0.45692100000000002</v>
      </c>
      <c r="AW122" s="3">
        <v>5.7083399999999997</v>
      </c>
      <c r="AX122" s="3">
        <v>1.1074900000000001</v>
      </c>
      <c r="AY122" s="3">
        <v>0.28057300000000002</v>
      </c>
      <c r="AZ122" s="21">
        <v>2.4275699999999998</v>
      </c>
      <c r="BA122" s="3">
        <v>55.289000000000001</v>
      </c>
      <c r="BB122" s="3">
        <v>4</v>
      </c>
    </row>
    <row r="123" spans="1:54" s="3" customFormat="1" ht="63" customHeight="1" x14ac:dyDescent="0.25">
      <c r="A123" s="2">
        <v>121</v>
      </c>
      <c r="B123" s="3">
        <v>3</v>
      </c>
      <c r="C123" s="2">
        <v>2</v>
      </c>
      <c r="D123" s="9">
        <v>85</v>
      </c>
      <c r="E123" s="3" t="s">
        <v>16</v>
      </c>
      <c r="F123" s="3">
        <f t="shared" ref="F123:F130" si="16">IF(E223="Happy", 1,2)</f>
        <v>1</v>
      </c>
      <c r="G123" s="11"/>
      <c r="H123" s="3" t="s">
        <v>38</v>
      </c>
      <c r="I123" s="3">
        <f t="shared" si="9"/>
        <v>3</v>
      </c>
      <c r="J123" s="3" t="s">
        <v>43</v>
      </c>
      <c r="K123" s="3">
        <v>5</v>
      </c>
      <c r="L123" s="6" t="s">
        <v>176</v>
      </c>
      <c r="M123" s="3">
        <v>93</v>
      </c>
      <c r="N123" s="3">
        <f t="shared" si="10"/>
        <v>0.93</v>
      </c>
      <c r="O123" s="3">
        <v>89</v>
      </c>
      <c r="P123" s="3">
        <v>0.89</v>
      </c>
      <c r="Q123" s="17">
        <v>8.1250000000000003E-2</v>
      </c>
      <c r="R123" s="21">
        <v>0.1688987439689405</v>
      </c>
      <c r="S123" s="3">
        <v>6</v>
      </c>
      <c r="T123" s="3">
        <v>303.02999999999997</v>
      </c>
      <c r="U123" s="3">
        <v>339.96</v>
      </c>
      <c r="V123" s="26">
        <v>-0.51473337528118202</v>
      </c>
      <c r="W123" s="18">
        <v>-1.4012087247501099</v>
      </c>
      <c r="X123" s="18">
        <v>-1.4679791013260299</v>
      </c>
      <c r="Y123" s="18">
        <v>4.1358345298092201E-2</v>
      </c>
      <c r="Z123" s="18">
        <v>-0.38694100471998299</v>
      </c>
      <c r="AA123" s="18">
        <v>-0.39130743206141599</v>
      </c>
      <c r="AB123" s="18">
        <v>-1.1140334721209799</v>
      </c>
      <c r="AC123" s="18">
        <v>-0.445145161691816</v>
      </c>
      <c r="AD123" s="18">
        <v>-0.30252361837432401</v>
      </c>
      <c r="AE123" s="21">
        <v>1.5470426559099599</v>
      </c>
      <c r="AF123" s="3">
        <v>1.7226399999999999</v>
      </c>
      <c r="AG123" s="3">
        <v>0.113536</v>
      </c>
      <c r="AH123" s="3">
        <v>2.40395</v>
      </c>
      <c r="AI123" s="3">
        <v>1.2676099999999999</v>
      </c>
      <c r="AJ123" s="3">
        <v>0.24252399999999999</v>
      </c>
      <c r="AK123" s="3">
        <v>1.41896</v>
      </c>
      <c r="AL123" s="3">
        <v>0</v>
      </c>
      <c r="AM123" s="3">
        <v>0</v>
      </c>
      <c r="AN123" s="3">
        <v>-0.49937300000000001</v>
      </c>
      <c r="AO123" s="3">
        <v>8.6457200000000007</v>
      </c>
      <c r="AP123" s="3">
        <v>0.36407099999999998</v>
      </c>
      <c r="AQ123" s="3">
        <v>1.8634299999999999</v>
      </c>
      <c r="AR123" s="3">
        <v>0</v>
      </c>
      <c r="AS123" s="3">
        <v>0.11246200000000001</v>
      </c>
      <c r="AT123" s="3">
        <v>1.72804</v>
      </c>
      <c r="AU123" s="3">
        <v>0</v>
      </c>
      <c r="AV123" s="3">
        <v>0.21243500000000001</v>
      </c>
      <c r="AW123" s="3">
        <v>2.34773E-2</v>
      </c>
      <c r="AX123" s="3">
        <v>21.776800000000001</v>
      </c>
      <c r="AY123" s="3">
        <v>0.55754599999999999</v>
      </c>
      <c r="AZ123" s="21">
        <v>2.81962</v>
      </c>
      <c r="BA123" s="3">
        <v>36.932000000000002</v>
      </c>
      <c r="BB123" s="3">
        <v>5</v>
      </c>
    </row>
    <row r="124" spans="1:54" s="3" customFormat="1" ht="78.75" customHeight="1" x14ac:dyDescent="0.25">
      <c r="A124" s="2">
        <v>122</v>
      </c>
      <c r="B124" s="3">
        <v>3</v>
      </c>
      <c r="C124" s="2">
        <v>2</v>
      </c>
      <c r="D124" s="9">
        <v>85</v>
      </c>
      <c r="E124" s="3" t="s">
        <v>16</v>
      </c>
      <c r="F124" s="3">
        <f t="shared" si="16"/>
        <v>1</v>
      </c>
      <c r="G124" s="11"/>
      <c r="H124" s="3" t="s">
        <v>38</v>
      </c>
      <c r="I124" s="3">
        <f t="shared" si="9"/>
        <v>3</v>
      </c>
      <c r="J124" s="3" t="s">
        <v>44</v>
      </c>
      <c r="K124" s="3">
        <v>6</v>
      </c>
      <c r="L124" s="6" t="s">
        <v>216</v>
      </c>
      <c r="M124" s="3">
        <v>93</v>
      </c>
      <c r="N124" s="3">
        <f t="shared" si="10"/>
        <v>0.93</v>
      </c>
      <c r="O124" s="3">
        <v>89</v>
      </c>
      <c r="P124" s="3">
        <v>0.89</v>
      </c>
      <c r="Q124" s="17">
        <v>5.5E-2</v>
      </c>
      <c r="R124" s="21">
        <v>0.13964240043768941</v>
      </c>
      <c r="S124" s="3">
        <v>7</v>
      </c>
      <c r="T124" s="3">
        <v>339.96</v>
      </c>
      <c r="U124" s="3">
        <v>374.85</v>
      </c>
      <c r="V124" s="26">
        <v>0.244851508543071</v>
      </c>
      <c r="W124" s="18">
        <v>-0.18475323205233701</v>
      </c>
      <c r="X124" s="18">
        <v>-0.436471836252256</v>
      </c>
      <c r="Y124" s="18">
        <v>0.48288045203145502</v>
      </c>
      <c r="Z124" s="18">
        <v>-0.190515564528912</v>
      </c>
      <c r="AA124" s="18">
        <v>0.26935472599780902</v>
      </c>
      <c r="AB124" s="18">
        <v>0.59501514229752905</v>
      </c>
      <c r="AC124" s="18">
        <v>-0.58596445194502</v>
      </c>
      <c r="AD124" s="18">
        <v>-1.0676907612161901</v>
      </c>
      <c r="AE124" s="21">
        <v>-0.27699832962448101</v>
      </c>
      <c r="AF124" s="3">
        <v>0.82616199999999995</v>
      </c>
      <c r="AG124" s="3">
        <v>0.155081</v>
      </c>
      <c r="AH124" s="3">
        <v>2.3355100000000002</v>
      </c>
      <c r="AI124" s="3">
        <v>1.58348</v>
      </c>
      <c r="AJ124" s="3">
        <v>2.4832799999999999E-2</v>
      </c>
      <c r="AK124" s="3">
        <v>0.91229099999999996</v>
      </c>
      <c r="AL124" s="3">
        <v>0</v>
      </c>
      <c r="AM124" s="3">
        <v>0</v>
      </c>
      <c r="AN124" s="3">
        <v>-0.49937300000000001</v>
      </c>
      <c r="AO124" s="3">
        <v>2.1686700000000001</v>
      </c>
      <c r="AP124" s="3">
        <v>8.1833199999999995E-2</v>
      </c>
      <c r="AQ124" s="3">
        <v>1.05104</v>
      </c>
      <c r="AR124" s="3">
        <v>0</v>
      </c>
      <c r="AS124" s="3">
        <v>5.6124899999999998E-2</v>
      </c>
      <c r="AT124" s="3">
        <v>1.8819900000000001</v>
      </c>
      <c r="AU124" s="3">
        <v>0</v>
      </c>
      <c r="AV124" s="3">
        <v>0</v>
      </c>
      <c r="AW124" s="3">
        <v>-0.48507899999999998</v>
      </c>
      <c r="AX124" s="3">
        <v>0</v>
      </c>
      <c r="AY124" s="3">
        <v>0</v>
      </c>
      <c r="AZ124" s="21">
        <v>-0.43172100000000002</v>
      </c>
      <c r="BA124" s="3">
        <v>34.881999999999998</v>
      </c>
      <c r="BB124" s="3">
        <v>6</v>
      </c>
    </row>
    <row r="125" spans="1:54" s="3" customFormat="1" ht="157.5" customHeight="1" x14ac:dyDescent="0.25">
      <c r="A125" s="2">
        <v>123</v>
      </c>
      <c r="B125" s="3">
        <v>3</v>
      </c>
      <c r="C125" s="2">
        <v>2</v>
      </c>
      <c r="D125" s="9">
        <v>85</v>
      </c>
      <c r="E125" s="3" t="s">
        <v>53</v>
      </c>
      <c r="F125" s="3">
        <f t="shared" si="16"/>
        <v>1</v>
      </c>
      <c r="G125" s="11" t="s">
        <v>54</v>
      </c>
      <c r="H125" s="3" t="s">
        <v>54</v>
      </c>
      <c r="I125" s="3">
        <f t="shared" si="9"/>
        <v>1</v>
      </c>
      <c r="J125" s="3" t="s">
        <v>55</v>
      </c>
      <c r="K125" s="3">
        <v>1</v>
      </c>
      <c r="L125" s="6" t="s">
        <v>193</v>
      </c>
      <c r="M125" s="3">
        <v>-64</v>
      </c>
      <c r="N125" s="3">
        <f t="shared" si="10"/>
        <v>-0.64</v>
      </c>
      <c r="O125" s="3">
        <v>1</v>
      </c>
      <c r="P125" s="3">
        <v>0.01</v>
      </c>
      <c r="Q125" s="17">
        <v>0.197625</v>
      </c>
      <c r="R125" s="21">
        <v>0.32821722248975432</v>
      </c>
      <c r="S125" s="3">
        <v>2</v>
      </c>
      <c r="T125" s="3">
        <v>38.33</v>
      </c>
      <c r="U125" s="3">
        <v>131.81</v>
      </c>
      <c r="V125" s="26">
        <v>-0.29343128071144498</v>
      </c>
      <c r="W125" s="18">
        <v>0.96146467760473997</v>
      </c>
      <c r="X125" s="18">
        <v>1.03456219870499</v>
      </c>
      <c r="Y125" s="18">
        <v>-0.387837857904064</v>
      </c>
      <c r="Z125" s="18">
        <v>-0.23013292722197201</v>
      </c>
      <c r="AA125" s="18">
        <v>7.5979376243692304E-2</v>
      </c>
      <c r="AB125" s="18">
        <v>1.2026479378002199</v>
      </c>
      <c r="AC125" s="18">
        <v>-0.73642889906487996</v>
      </c>
      <c r="AD125" s="18">
        <v>0.62264026638862202</v>
      </c>
      <c r="AE125" s="21">
        <v>0.38976061355799602</v>
      </c>
      <c r="AF125" s="3">
        <v>0</v>
      </c>
      <c r="AG125" s="3">
        <v>0.32480500000000001</v>
      </c>
      <c r="AH125" s="3">
        <v>-0.14374000000000001</v>
      </c>
      <c r="AI125" s="3">
        <v>30.096299999999999</v>
      </c>
      <c r="AJ125" s="3">
        <v>0.14878</v>
      </c>
      <c r="AK125" s="3">
        <v>0.14030000000000001</v>
      </c>
      <c r="AL125" s="3">
        <v>1.8104</v>
      </c>
      <c r="AM125" s="3">
        <v>0.15532599999999999</v>
      </c>
      <c r="AN125" s="3">
        <v>4.2129099999999999</v>
      </c>
      <c r="AO125" s="3">
        <v>4.5709400000000002</v>
      </c>
      <c r="AP125" s="3">
        <v>0.110272</v>
      </c>
      <c r="AQ125" s="3">
        <v>1.4771399999999999</v>
      </c>
      <c r="AR125" s="3">
        <v>0</v>
      </c>
      <c r="AS125" s="3">
        <v>5.8793400000000003E-2</v>
      </c>
      <c r="AT125" s="3">
        <v>2.02772</v>
      </c>
      <c r="AU125" s="3">
        <v>0.218275</v>
      </c>
      <c r="AV125" s="3">
        <v>3.0783399999999999E-2</v>
      </c>
      <c r="AW125" s="3">
        <v>3.9096799999999998</v>
      </c>
      <c r="AX125" s="3">
        <v>0.24395500000000001</v>
      </c>
      <c r="AY125" s="3">
        <v>0.14765800000000001</v>
      </c>
      <c r="AZ125" s="21">
        <v>4.3935500000000003</v>
      </c>
      <c r="BA125" s="3">
        <v>93.475999999999999</v>
      </c>
      <c r="BB125" s="3">
        <v>1</v>
      </c>
    </row>
    <row r="126" spans="1:54" s="3" customFormat="1" ht="78.75" customHeight="1" x14ac:dyDescent="0.25">
      <c r="A126" s="2">
        <v>124</v>
      </c>
      <c r="B126" s="3">
        <v>3</v>
      </c>
      <c r="C126" s="2">
        <v>2</v>
      </c>
      <c r="D126" s="9">
        <v>85</v>
      </c>
      <c r="E126" s="3" t="s">
        <v>53</v>
      </c>
      <c r="F126" s="3">
        <f t="shared" si="16"/>
        <v>1</v>
      </c>
      <c r="G126" s="11"/>
      <c r="H126" s="3" t="s">
        <v>54</v>
      </c>
      <c r="I126" s="3">
        <f t="shared" si="9"/>
        <v>1</v>
      </c>
      <c r="J126" s="3" t="s">
        <v>56</v>
      </c>
      <c r="K126" s="3">
        <v>2</v>
      </c>
      <c r="L126" s="6" t="s">
        <v>156</v>
      </c>
      <c r="M126" s="3">
        <v>-64</v>
      </c>
      <c r="N126" s="3">
        <f t="shared" si="10"/>
        <v>-0.64</v>
      </c>
      <c r="O126" s="3">
        <v>1</v>
      </c>
      <c r="P126" s="3">
        <v>0.01</v>
      </c>
      <c r="Q126" s="17">
        <v>0.16138888888888889</v>
      </c>
      <c r="R126" s="21">
        <v>0.29496978815791608</v>
      </c>
      <c r="S126" s="3">
        <v>3</v>
      </c>
      <c r="T126" s="3">
        <v>131.81</v>
      </c>
      <c r="U126" s="3">
        <v>165.61</v>
      </c>
      <c r="V126" s="26">
        <v>-0.56799176867421897</v>
      </c>
      <c r="W126" s="18">
        <v>0.94484481747679805</v>
      </c>
      <c r="X126" s="18">
        <v>1.54663484494508</v>
      </c>
      <c r="Y126" s="18">
        <v>-0.26461628734436499</v>
      </c>
      <c r="Z126" s="18">
        <v>-0.74298607718082899</v>
      </c>
      <c r="AA126" s="18">
        <v>-1.0253629976337499</v>
      </c>
      <c r="AB126" s="18">
        <v>0.77479986931178202</v>
      </c>
      <c r="AC126" s="18">
        <v>0.43410733827270698</v>
      </c>
      <c r="AD126" s="18">
        <v>3.0544844334615799</v>
      </c>
      <c r="AE126" s="21">
        <v>-1.48715112518034</v>
      </c>
      <c r="AF126" s="3">
        <v>0</v>
      </c>
      <c r="AG126" s="3">
        <v>0.329235</v>
      </c>
      <c r="AH126" s="3">
        <v>-0.12992699999999999</v>
      </c>
      <c r="AI126" s="3">
        <v>39.8934</v>
      </c>
      <c r="AJ126" s="3">
        <v>0.24818699999999999</v>
      </c>
      <c r="AK126" s="3">
        <v>0.35130699999999998</v>
      </c>
      <c r="AL126" s="3">
        <v>0</v>
      </c>
      <c r="AM126" s="3">
        <v>0.44733000000000001</v>
      </c>
      <c r="AN126" s="3">
        <v>0.90582799999999997</v>
      </c>
      <c r="AO126" s="3">
        <v>9.6270000000000007</v>
      </c>
      <c r="AP126" s="3">
        <v>0.20032900000000001</v>
      </c>
      <c r="AQ126" s="3">
        <v>1.27261</v>
      </c>
      <c r="AR126" s="3">
        <v>0</v>
      </c>
      <c r="AS126" s="3">
        <v>0.34269500000000003</v>
      </c>
      <c r="AT126" s="3">
        <v>1.79358</v>
      </c>
      <c r="AU126" s="3">
        <v>0</v>
      </c>
      <c r="AV126" s="3">
        <v>2.48998E-2</v>
      </c>
      <c r="AW126" s="3">
        <v>-0.59968399999999999</v>
      </c>
      <c r="AX126" s="3">
        <v>0</v>
      </c>
      <c r="AY126" s="3">
        <v>0.238012</v>
      </c>
      <c r="AZ126" s="21">
        <v>-0.26630500000000001</v>
      </c>
      <c r="BA126" s="3">
        <v>33.801000000000002</v>
      </c>
      <c r="BB126" s="3">
        <v>2</v>
      </c>
    </row>
    <row r="127" spans="1:54" s="3" customFormat="1" ht="47.25" customHeight="1" x14ac:dyDescent="0.25">
      <c r="A127" s="2">
        <v>125</v>
      </c>
      <c r="B127" s="3">
        <v>3</v>
      </c>
      <c r="C127" s="2">
        <v>2</v>
      </c>
      <c r="D127" s="9">
        <v>85</v>
      </c>
      <c r="E127" s="3" t="s">
        <v>53</v>
      </c>
      <c r="F127" s="3">
        <f t="shared" si="16"/>
        <v>1</v>
      </c>
      <c r="G127" s="11"/>
      <c r="H127" s="3" t="s">
        <v>54</v>
      </c>
      <c r="I127" s="3">
        <f t="shared" si="9"/>
        <v>1</v>
      </c>
      <c r="J127" s="3" t="s">
        <v>57</v>
      </c>
      <c r="K127" s="3">
        <v>3</v>
      </c>
      <c r="L127" s="6" t="s">
        <v>154</v>
      </c>
      <c r="M127" s="3">
        <v>-64</v>
      </c>
      <c r="N127" s="3">
        <f t="shared" si="10"/>
        <v>-0.64</v>
      </c>
      <c r="O127" s="3">
        <v>1</v>
      </c>
      <c r="P127" s="3">
        <v>0.01</v>
      </c>
      <c r="Q127" s="17">
        <v>0.10101851851851849</v>
      </c>
      <c r="R127" s="21">
        <v>0.43613770855435702</v>
      </c>
      <c r="S127" s="3">
        <v>5</v>
      </c>
      <c r="T127" s="3">
        <v>189.16</v>
      </c>
      <c r="U127" s="3">
        <v>228.45</v>
      </c>
      <c r="V127" s="26">
        <v>-0.540580274565021</v>
      </c>
      <c r="W127" s="18">
        <v>1.36000674483944</v>
      </c>
      <c r="X127" s="18">
        <v>1.82371546546866</v>
      </c>
      <c r="Y127" s="18">
        <v>-0.28567147817882999</v>
      </c>
      <c r="Z127" s="18">
        <v>-0.31844130664424303</v>
      </c>
      <c r="AA127" s="18">
        <v>-0.63189242797177003</v>
      </c>
      <c r="AB127" s="18">
        <v>-0.81008687106212096</v>
      </c>
      <c r="AC127" s="18">
        <v>-0.348307786750572</v>
      </c>
      <c r="AD127" s="18">
        <v>0.65054667486323003</v>
      </c>
      <c r="AE127" s="21">
        <v>0.887626872894691</v>
      </c>
      <c r="AF127" s="3">
        <v>0.55017799999999994</v>
      </c>
      <c r="AG127" s="3">
        <v>0.144924</v>
      </c>
      <c r="AH127" s="3">
        <v>3.09727</v>
      </c>
      <c r="AI127" s="3">
        <v>28.945499999999999</v>
      </c>
      <c r="AJ127" s="3">
        <v>0.112432</v>
      </c>
      <c r="AK127" s="3">
        <v>8.1561300000000003E-2</v>
      </c>
      <c r="AL127" s="3">
        <v>0</v>
      </c>
      <c r="AM127" s="3">
        <v>1.06699E-2</v>
      </c>
      <c r="AN127" s="3">
        <v>-0.46093299999999998</v>
      </c>
      <c r="AO127" s="3">
        <v>5.28782</v>
      </c>
      <c r="AP127" s="3">
        <v>0.16911599999999999</v>
      </c>
      <c r="AQ127" s="3">
        <v>2.0308299999999999</v>
      </c>
      <c r="AR127" s="3">
        <v>0.183393</v>
      </c>
      <c r="AS127" s="3">
        <v>2.73861E-2</v>
      </c>
      <c r="AT127" s="3">
        <v>4.9895500000000004</v>
      </c>
      <c r="AU127" s="3">
        <v>0</v>
      </c>
      <c r="AV127" s="3">
        <v>0</v>
      </c>
      <c r="AW127" s="3">
        <v>-0.68174999999999997</v>
      </c>
      <c r="AX127" s="3">
        <v>0</v>
      </c>
      <c r="AY127" s="3">
        <v>0.130805</v>
      </c>
      <c r="AZ127" s="21">
        <v>-0.37152400000000002</v>
      </c>
      <c r="BA127" s="3">
        <v>39.286000000000001</v>
      </c>
      <c r="BB127" s="3">
        <v>3</v>
      </c>
    </row>
    <row r="128" spans="1:54" s="3" customFormat="1" ht="110.25" customHeight="1" x14ac:dyDescent="0.25">
      <c r="A128" s="2">
        <v>126</v>
      </c>
      <c r="B128" s="3">
        <v>3</v>
      </c>
      <c r="C128" s="2">
        <v>2</v>
      </c>
      <c r="D128" s="9">
        <v>85</v>
      </c>
      <c r="E128" s="3" t="s">
        <v>53</v>
      </c>
      <c r="F128" s="3">
        <f t="shared" si="16"/>
        <v>1</v>
      </c>
      <c r="G128" s="11"/>
      <c r="H128" s="3" t="s">
        <v>54</v>
      </c>
      <c r="I128" s="3">
        <f t="shared" si="9"/>
        <v>1</v>
      </c>
      <c r="J128" s="3" t="s">
        <v>58</v>
      </c>
      <c r="K128" s="3">
        <v>4</v>
      </c>
      <c r="L128" s="6" t="s">
        <v>217</v>
      </c>
      <c r="M128" s="3">
        <v>-64</v>
      </c>
      <c r="N128" s="3">
        <f t="shared" si="10"/>
        <v>-0.64</v>
      </c>
      <c r="O128" s="3">
        <v>1</v>
      </c>
      <c r="P128" s="3">
        <v>0.01</v>
      </c>
      <c r="Q128" s="17">
        <v>1.5769230769230761E-2</v>
      </c>
      <c r="R128" s="21">
        <v>0.17613732987177641</v>
      </c>
      <c r="S128" s="3">
        <v>7</v>
      </c>
      <c r="T128" s="3">
        <v>235.11</v>
      </c>
      <c r="U128" s="3">
        <v>316.13</v>
      </c>
      <c r="V128" s="26">
        <v>-1.70406893910015</v>
      </c>
      <c r="W128" s="18">
        <v>-0.203224930527869</v>
      </c>
      <c r="X128" s="18">
        <v>0.15694868710929699</v>
      </c>
      <c r="Y128" s="18">
        <v>-1.1145791244644201</v>
      </c>
      <c r="Z128" s="18">
        <v>3.3769827491470401E-2</v>
      </c>
      <c r="AA128" s="18">
        <v>0.39628181656670602</v>
      </c>
      <c r="AB128" s="18">
        <v>1.62862107866046</v>
      </c>
      <c r="AC128" s="18">
        <v>-1.10448808509654</v>
      </c>
      <c r="AD128" s="18">
        <v>1.29239406977921</v>
      </c>
      <c r="AE128" s="21">
        <v>0.219399297678772</v>
      </c>
      <c r="AF128" s="3">
        <v>0</v>
      </c>
      <c r="AG128" s="3">
        <v>0.24151800000000001</v>
      </c>
      <c r="AH128" s="3">
        <v>-0.33209499999999997</v>
      </c>
      <c r="AI128" s="3">
        <v>31.570399999999999</v>
      </c>
      <c r="AJ128" s="3">
        <v>3.4503300000000001E-2</v>
      </c>
      <c r="AK128" s="3">
        <v>-4.8252900000000001E-2</v>
      </c>
      <c r="AL128" s="3">
        <v>2.5629599999999999</v>
      </c>
      <c r="AM128" s="3">
        <v>0.21185799999999999</v>
      </c>
      <c r="AN128" s="3">
        <v>4.3507699999999998</v>
      </c>
      <c r="AO128" s="3">
        <v>12.192600000000001</v>
      </c>
      <c r="AP128" s="3">
        <v>0.124838</v>
      </c>
      <c r="AQ128" s="3">
        <v>1.4604900000000001</v>
      </c>
      <c r="AR128" s="3">
        <v>0</v>
      </c>
      <c r="AS128" s="3">
        <v>6.4397599999999999E-2</v>
      </c>
      <c r="AT128" s="3">
        <v>-0.35969000000000001</v>
      </c>
      <c r="AU128" s="3">
        <v>0</v>
      </c>
      <c r="AV128" s="3">
        <v>7.5585299999999994E-2</v>
      </c>
      <c r="AW128" s="3">
        <v>-0.58415799999999996</v>
      </c>
      <c r="AX128" s="3">
        <v>0.72592599999999996</v>
      </c>
      <c r="AY128" s="3">
        <v>4.27395E-2</v>
      </c>
      <c r="AZ128" s="21">
        <v>3.8813800000000001</v>
      </c>
      <c r="BA128" s="3">
        <v>81.013000000000005</v>
      </c>
      <c r="BB128" s="3">
        <v>4</v>
      </c>
    </row>
    <row r="129" spans="1:54" s="3" customFormat="1" ht="78.75" customHeight="1" x14ac:dyDescent="0.25">
      <c r="A129" s="2">
        <v>127</v>
      </c>
      <c r="B129" s="3">
        <v>3</v>
      </c>
      <c r="C129" s="2">
        <v>2</v>
      </c>
      <c r="D129" s="9">
        <v>85</v>
      </c>
      <c r="E129" s="3" t="s">
        <v>53</v>
      </c>
      <c r="F129" s="3">
        <f t="shared" si="16"/>
        <v>1</v>
      </c>
      <c r="G129" s="11"/>
      <c r="H129" s="3" t="s">
        <v>54</v>
      </c>
      <c r="I129" s="3">
        <f t="shared" si="9"/>
        <v>1</v>
      </c>
      <c r="J129" s="3" t="s">
        <v>59</v>
      </c>
      <c r="K129" s="3">
        <v>5</v>
      </c>
      <c r="L129" s="6" t="s">
        <v>188</v>
      </c>
      <c r="M129" s="3">
        <v>-64</v>
      </c>
      <c r="N129" s="3">
        <f t="shared" si="10"/>
        <v>-0.64</v>
      </c>
      <c r="O129" s="3">
        <v>1</v>
      </c>
      <c r="P129" s="3">
        <v>0.01</v>
      </c>
      <c r="Q129" s="17">
        <v>2.380952380952337E-4</v>
      </c>
      <c r="R129" s="21">
        <v>0.32967496418530479</v>
      </c>
      <c r="S129" s="3">
        <v>8</v>
      </c>
      <c r="T129" s="3">
        <v>316.13</v>
      </c>
      <c r="U129" s="3">
        <v>362.1</v>
      </c>
      <c r="V129" s="26">
        <v>-1.50463490664248</v>
      </c>
      <c r="W129" s="18">
        <v>0.47215918883799901</v>
      </c>
      <c r="X129" s="18">
        <v>1.0098170289013499</v>
      </c>
      <c r="Y129" s="18">
        <v>-1.0758405705092</v>
      </c>
      <c r="Z129" s="18">
        <v>-1.20714821041048</v>
      </c>
      <c r="AA129" s="18">
        <v>-0.85057815160444805</v>
      </c>
      <c r="AB129" s="18">
        <v>-0.95810199104314897</v>
      </c>
      <c r="AC129" s="18">
        <v>0.108101036179674</v>
      </c>
      <c r="AD129" s="18">
        <v>2.9223941000150999</v>
      </c>
      <c r="AE129" s="21">
        <v>-1.94683295164756</v>
      </c>
      <c r="AF129" s="3">
        <v>0</v>
      </c>
      <c r="AG129" s="3">
        <v>0.178673</v>
      </c>
      <c r="AH129" s="3">
        <v>-0.41640700000000003</v>
      </c>
      <c r="AI129" s="3">
        <v>32.181100000000001</v>
      </c>
      <c r="AJ129" s="3">
        <v>0.33567000000000002</v>
      </c>
      <c r="AK129" s="3">
        <v>1.1177600000000001</v>
      </c>
      <c r="AL129" s="3">
        <v>0.156726</v>
      </c>
      <c r="AM129" s="3">
        <v>5.0892E-2</v>
      </c>
      <c r="AN129" s="3">
        <v>3.4653900000000002</v>
      </c>
      <c r="AO129" s="3">
        <v>8.0191599999999994</v>
      </c>
      <c r="AP129" s="3">
        <v>8.94427E-2</v>
      </c>
      <c r="AQ129" s="3">
        <v>1.6888799999999999</v>
      </c>
      <c r="AR129" s="3">
        <v>0</v>
      </c>
      <c r="AS129" s="3">
        <v>5.6149600000000001E-2</v>
      </c>
      <c r="AT129" s="3">
        <v>4.3203100000000001</v>
      </c>
      <c r="AU129" s="3">
        <v>0</v>
      </c>
      <c r="AV129" s="3">
        <v>0</v>
      </c>
      <c r="AW129" s="3">
        <v>-0.68174999999999997</v>
      </c>
      <c r="AX129" s="3">
        <v>0.31345200000000001</v>
      </c>
      <c r="AY129" s="3">
        <v>0.34296700000000002</v>
      </c>
      <c r="AZ129" s="21">
        <v>5.5644200000000001</v>
      </c>
      <c r="BA129" s="3">
        <v>45.97</v>
      </c>
      <c r="BB129" s="3">
        <v>5</v>
      </c>
    </row>
    <row r="130" spans="1:54" s="3" customFormat="1" ht="63" customHeight="1" x14ac:dyDescent="0.25">
      <c r="A130" s="2">
        <v>128</v>
      </c>
      <c r="B130" s="3">
        <v>3</v>
      </c>
      <c r="C130" s="2">
        <v>2</v>
      </c>
      <c r="D130" s="9">
        <v>85</v>
      </c>
      <c r="E130" s="3" t="s">
        <v>53</v>
      </c>
      <c r="F130" s="3">
        <f t="shared" si="16"/>
        <v>1</v>
      </c>
      <c r="G130" s="11"/>
      <c r="H130" s="3" t="s">
        <v>54</v>
      </c>
      <c r="I130" s="3">
        <f t="shared" si="9"/>
        <v>1</v>
      </c>
      <c r="J130" s="3" t="s">
        <v>60</v>
      </c>
      <c r="K130" s="3">
        <v>6</v>
      </c>
      <c r="L130" s="6" t="s">
        <v>218</v>
      </c>
      <c r="M130" s="3">
        <v>-64</v>
      </c>
      <c r="N130" s="3">
        <f t="shared" si="10"/>
        <v>-0.64</v>
      </c>
      <c r="O130" s="3">
        <v>1</v>
      </c>
      <c r="P130" s="3">
        <v>0.01</v>
      </c>
      <c r="Q130" s="17">
        <v>4.7916666666666663E-2</v>
      </c>
      <c r="R130" s="21">
        <v>0.31426170092244238</v>
      </c>
      <c r="S130" s="3">
        <v>10</v>
      </c>
      <c r="T130" s="3">
        <v>382.53</v>
      </c>
      <c r="U130" s="3">
        <v>550.58000000000004</v>
      </c>
      <c r="V130" s="26">
        <v>-0.97329954010586905</v>
      </c>
      <c r="W130" s="18">
        <v>-0.22488677069462401</v>
      </c>
      <c r="X130" s="18">
        <v>-0.103781442121318</v>
      </c>
      <c r="Y130" s="18">
        <v>-0.722997532646249</v>
      </c>
      <c r="Z130" s="18">
        <v>-0.40074318269046799</v>
      </c>
      <c r="AA130" s="18">
        <v>-1.5540479708028399E-2</v>
      </c>
      <c r="AB130" s="18">
        <v>1.7426270947190401</v>
      </c>
      <c r="AC130" s="18">
        <v>0.242361619763549</v>
      </c>
      <c r="AD130" s="18">
        <v>-0.21667819040005501</v>
      </c>
      <c r="AE130" s="21">
        <v>0.35891934085572202</v>
      </c>
      <c r="AF130" s="3">
        <v>0.44280399999999998</v>
      </c>
      <c r="AG130" s="3">
        <v>0.120571</v>
      </c>
      <c r="AH130" s="3">
        <v>3.0527199999999999</v>
      </c>
      <c r="AI130" s="3">
        <v>53.765000000000001</v>
      </c>
      <c r="AJ130" s="3">
        <v>0.35971399999999998</v>
      </c>
      <c r="AK130" s="3">
        <v>0.89785899999999996</v>
      </c>
      <c r="AL130" s="3">
        <v>3.9352499999999999</v>
      </c>
      <c r="AM130" s="3">
        <v>7.7035500000000007E-2</v>
      </c>
      <c r="AN130" s="3">
        <v>3.7971699999999999</v>
      </c>
      <c r="AO130" s="3">
        <v>11.584300000000001</v>
      </c>
      <c r="AP130" s="3">
        <v>0.124422</v>
      </c>
      <c r="AQ130" s="3">
        <v>1.30114</v>
      </c>
      <c r="AR130" s="3">
        <v>0</v>
      </c>
      <c r="AS130" s="3">
        <v>0.229741</v>
      </c>
      <c r="AT130" s="3">
        <v>0.65717800000000004</v>
      </c>
      <c r="AU130" s="3">
        <v>0</v>
      </c>
      <c r="AV130" s="3">
        <v>1.1338900000000001E-2</v>
      </c>
      <c r="AW130" s="3">
        <v>-0.66896100000000003</v>
      </c>
      <c r="AX130" s="3">
        <v>0</v>
      </c>
      <c r="AY130" s="3">
        <v>0.14965000000000001</v>
      </c>
      <c r="AZ130" s="21">
        <v>-0.23156099999999999</v>
      </c>
      <c r="BA130" s="3">
        <v>168.04300000000001</v>
      </c>
      <c r="BB130" s="3">
        <v>6</v>
      </c>
    </row>
    <row r="131" spans="1:54" s="3" customFormat="1" ht="315" customHeight="1" x14ac:dyDescent="0.25">
      <c r="A131" s="2">
        <v>129</v>
      </c>
      <c r="B131" s="3">
        <v>3</v>
      </c>
      <c r="C131" s="2">
        <v>2</v>
      </c>
      <c r="D131" s="9">
        <v>85</v>
      </c>
      <c r="E131" s="3" t="s">
        <v>53</v>
      </c>
      <c r="F131" s="3">
        <f>IF(E232="Happy", 1,2)</f>
        <v>2</v>
      </c>
      <c r="G131" s="11"/>
      <c r="H131" s="3" t="s">
        <v>54</v>
      </c>
      <c r="I131" s="3">
        <f t="shared" ref="I131:I194" si="17">IF(OR(H131="HM1",H131="SM1"),1, IF(OR(H131="HM2",H131="SM2"),2,IF(OR(H131="HM3",H131="SM3"),3 )))</f>
        <v>1</v>
      </c>
      <c r="J131" s="3" t="s">
        <v>61</v>
      </c>
      <c r="K131" s="3">
        <v>7</v>
      </c>
      <c r="L131" s="6" t="s">
        <v>162</v>
      </c>
      <c r="M131" s="3">
        <v>-64</v>
      </c>
      <c r="N131" s="3">
        <f t="shared" ref="N131:N194" si="18">M131/100</f>
        <v>-0.64</v>
      </c>
      <c r="O131" s="3">
        <v>1</v>
      </c>
      <c r="P131" s="3">
        <v>0.01</v>
      </c>
      <c r="Q131" s="17">
        <v>0.14912500000000001</v>
      </c>
      <c r="R131" s="21">
        <v>0.28311207498608032</v>
      </c>
      <c r="S131" s="3">
        <v>11</v>
      </c>
      <c r="T131" s="3">
        <v>550.58000000000004</v>
      </c>
      <c r="U131" s="3">
        <v>590.53</v>
      </c>
      <c r="V131" s="26">
        <v>0.66810031269068204</v>
      </c>
      <c r="W131" s="18">
        <v>0.29683366998831801</v>
      </c>
      <c r="X131" s="18">
        <v>0.64477948767799997</v>
      </c>
      <c r="Y131" s="18">
        <v>6.1814100094561203E-2</v>
      </c>
      <c r="Z131" s="18">
        <v>0.26533970232961002</v>
      </c>
      <c r="AA131" s="18">
        <v>0.37530354172126801</v>
      </c>
      <c r="AB131" s="18">
        <v>1.2714473654902001</v>
      </c>
      <c r="AC131" s="18">
        <v>-0.27076072554264402</v>
      </c>
      <c r="AD131" s="18">
        <v>-1.0873581348078101</v>
      </c>
      <c r="AE131" s="21">
        <v>-0.28434148979168899</v>
      </c>
      <c r="AF131" s="3">
        <v>0.93139700000000003</v>
      </c>
      <c r="AG131" s="3">
        <v>8.3964300000000006E-2</v>
      </c>
      <c r="AH131" s="3">
        <v>2.8163499999999999</v>
      </c>
      <c r="AI131" s="3">
        <v>42.153199999999998</v>
      </c>
      <c r="AJ131" s="3">
        <v>8.0238599999999993E-2</v>
      </c>
      <c r="AK131" s="3">
        <v>0.104217</v>
      </c>
      <c r="AL131" s="3">
        <v>0.78117199999999998</v>
      </c>
      <c r="AM131" s="3">
        <v>0.30704700000000001</v>
      </c>
      <c r="AN131" s="3">
        <v>4.2880700000000003</v>
      </c>
      <c r="AO131" s="3">
        <v>28.843299999999999</v>
      </c>
      <c r="AP131" s="3">
        <v>6.8741899999999995E-2</v>
      </c>
      <c r="AQ131" s="3">
        <v>1.5226299999999999</v>
      </c>
      <c r="AR131" s="3">
        <v>0</v>
      </c>
      <c r="AS131" s="3">
        <v>0.13724600000000001</v>
      </c>
      <c r="AT131" s="3">
        <v>1.17258</v>
      </c>
      <c r="AU131" s="3">
        <v>0</v>
      </c>
      <c r="AV131" s="3">
        <v>3.5006500000000003E-2</v>
      </c>
      <c r="AW131" s="3">
        <v>-0.60307500000000003</v>
      </c>
      <c r="AX131" s="3">
        <v>0</v>
      </c>
      <c r="AY131" s="3">
        <v>0.14169100000000001</v>
      </c>
      <c r="AZ131" s="21">
        <v>0.77882499999999999</v>
      </c>
      <c r="BA131" s="3">
        <v>39.953000000000003</v>
      </c>
      <c r="BB131" s="3">
        <v>7</v>
      </c>
    </row>
    <row r="132" spans="1:54" s="3" customFormat="1" ht="78.75" customHeight="1" x14ac:dyDescent="0.25">
      <c r="A132" s="2">
        <v>130</v>
      </c>
      <c r="B132" s="3">
        <v>3</v>
      </c>
      <c r="C132" s="2">
        <v>2</v>
      </c>
      <c r="D132" s="9">
        <v>85</v>
      </c>
      <c r="E132" s="3" t="s">
        <v>53</v>
      </c>
      <c r="F132" s="3">
        <f>IF(E233="Happy", 1,2)</f>
        <v>2</v>
      </c>
      <c r="G132" s="11"/>
      <c r="H132" s="3" t="s">
        <v>54</v>
      </c>
      <c r="I132" s="3">
        <f t="shared" si="17"/>
        <v>1</v>
      </c>
      <c r="J132" s="3" t="s">
        <v>62</v>
      </c>
      <c r="K132" s="3">
        <v>8</v>
      </c>
      <c r="L132" s="6" t="s">
        <v>152</v>
      </c>
      <c r="M132" s="3">
        <v>-64</v>
      </c>
      <c r="N132" s="3">
        <f t="shared" si="18"/>
        <v>-0.64</v>
      </c>
      <c r="O132" s="3">
        <v>1</v>
      </c>
      <c r="P132" s="3">
        <v>0.01</v>
      </c>
      <c r="Q132" s="17">
        <v>-0.11687500000000001</v>
      </c>
      <c r="R132" s="21">
        <v>0.19637677888618671</v>
      </c>
      <c r="S132" s="3">
        <v>13</v>
      </c>
      <c r="T132" s="3">
        <v>600.88</v>
      </c>
      <c r="U132" s="3">
        <v>625.35</v>
      </c>
      <c r="V132" s="26">
        <v>-1.0235634440649399</v>
      </c>
      <c r="W132" s="18">
        <v>-0.19533516546713101</v>
      </c>
      <c r="X132" s="18">
        <v>0.44815255535430398</v>
      </c>
      <c r="Y132" s="18">
        <v>-0.248319120061464</v>
      </c>
      <c r="Z132" s="18">
        <v>0.180481867399961</v>
      </c>
      <c r="AA132" s="18">
        <v>-0.24940560546464</v>
      </c>
      <c r="AB132" s="18">
        <v>0.14456377962479799</v>
      </c>
      <c r="AC132" s="18">
        <v>0.61852273756320197</v>
      </c>
      <c r="AD132" s="18">
        <v>-0.22784075378989799</v>
      </c>
      <c r="AE132" s="21">
        <v>-1.4239999477423499</v>
      </c>
      <c r="AF132" s="3">
        <v>15.9444</v>
      </c>
      <c r="AG132" s="3">
        <v>0.12781100000000001</v>
      </c>
      <c r="AH132" s="3">
        <v>3.0451199999999998</v>
      </c>
      <c r="AI132" s="3">
        <v>13.981999999999999</v>
      </c>
      <c r="AJ132" s="3">
        <v>5.0365300000000002E-2</v>
      </c>
      <c r="AK132" s="3">
        <v>1.7218899999999999E-2</v>
      </c>
      <c r="AL132" s="3">
        <v>0</v>
      </c>
      <c r="AM132" s="3">
        <v>0</v>
      </c>
      <c r="AN132" s="3">
        <v>-0.46828599999999998</v>
      </c>
      <c r="AO132" s="3">
        <v>7.6042500000000004</v>
      </c>
      <c r="AP132" s="3">
        <v>9.2095700000000003E-2</v>
      </c>
      <c r="AQ132" s="3">
        <v>1.2506699999999999</v>
      </c>
      <c r="AR132" s="3">
        <v>0.29435800000000001</v>
      </c>
      <c r="AS132" s="3">
        <v>0.15354699999999999</v>
      </c>
      <c r="AT132" s="3">
        <v>5.5983000000000001</v>
      </c>
      <c r="AU132" s="3">
        <v>1.07931</v>
      </c>
      <c r="AV132" s="3">
        <v>0.255685</v>
      </c>
      <c r="AW132" s="3">
        <v>5.5850999999999997</v>
      </c>
      <c r="AX132" s="3">
        <v>0</v>
      </c>
      <c r="AY132" s="3">
        <v>0</v>
      </c>
      <c r="AZ132" s="21">
        <v>-0.57851200000000003</v>
      </c>
      <c r="BA132" s="3">
        <v>24.472000000000001</v>
      </c>
      <c r="BB132" s="3">
        <v>8</v>
      </c>
    </row>
    <row r="133" spans="1:54" s="3" customFormat="1" ht="63" customHeight="1" x14ac:dyDescent="0.25">
      <c r="A133" s="2">
        <v>131</v>
      </c>
      <c r="B133" s="3">
        <v>3</v>
      </c>
      <c r="C133" s="2">
        <v>2</v>
      </c>
      <c r="D133" s="9">
        <v>85</v>
      </c>
      <c r="E133" s="3" t="s">
        <v>53</v>
      </c>
      <c r="F133" s="3">
        <f t="shared" ref="F133:F140" si="19">IF(E233="Happy", 1,2)</f>
        <v>2</v>
      </c>
      <c r="G133" s="11"/>
      <c r="H133" s="3" t="s">
        <v>54</v>
      </c>
      <c r="I133" s="3">
        <f t="shared" si="17"/>
        <v>1</v>
      </c>
      <c r="J133" s="3" t="s">
        <v>63</v>
      </c>
      <c r="K133" s="3">
        <v>9</v>
      </c>
      <c r="L133" s="6" t="s">
        <v>165</v>
      </c>
      <c r="M133" s="3">
        <v>-64</v>
      </c>
      <c r="N133" s="3">
        <f t="shared" si="18"/>
        <v>-0.64</v>
      </c>
      <c r="O133" s="3">
        <v>1</v>
      </c>
      <c r="P133" s="3">
        <v>0.01</v>
      </c>
      <c r="Q133" s="17">
        <v>5.5694444444444463E-2</v>
      </c>
      <c r="R133" s="21">
        <v>0.25947340279739511</v>
      </c>
      <c r="S133" s="3">
        <v>15</v>
      </c>
      <c r="T133" s="3">
        <v>638.53</v>
      </c>
      <c r="U133" s="3">
        <v>670.01</v>
      </c>
      <c r="V133" s="26">
        <v>-0.64588475940031798</v>
      </c>
      <c r="W133" s="18">
        <v>0.204864219280326</v>
      </c>
      <c r="X133" s="18">
        <v>0.332752812076758</v>
      </c>
      <c r="Y133" s="18">
        <v>0.23591280437881801</v>
      </c>
      <c r="Z133" s="18">
        <v>0.35722642418867201</v>
      </c>
      <c r="AA133" s="18">
        <v>0.28828633988271601</v>
      </c>
      <c r="AB133" s="18">
        <v>0.56095395705207096</v>
      </c>
      <c r="AC133" s="18">
        <v>-1.0759384207712299</v>
      </c>
      <c r="AD133" s="18">
        <v>-1.1219089262525701</v>
      </c>
      <c r="AE133" s="21">
        <v>0.50725117623332205</v>
      </c>
      <c r="AF133" s="3">
        <v>0.877305</v>
      </c>
      <c r="AG133" s="3">
        <v>9.7602499999999995E-2</v>
      </c>
      <c r="AH133" s="3">
        <v>2.9917099999999999</v>
      </c>
      <c r="AI133" s="3">
        <v>12.511100000000001</v>
      </c>
      <c r="AJ133" s="3">
        <v>0.221581</v>
      </c>
      <c r="AK133" s="3">
        <v>0.76321399999999995</v>
      </c>
      <c r="AL133" s="3">
        <v>2.0597599999999998</v>
      </c>
      <c r="AM133" s="3">
        <v>8.6784899999999998E-2</v>
      </c>
      <c r="AN133" s="3">
        <v>3.9490799999999999</v>
      </c>
      <c r="AO133" s="3">
        <v>5.8359800000000002</v>
      </c>
      <c r="AP133" s="3">
        <v>8.0964400000000006E-2</v>
      </c>
      <c r="AQ133" s="3">
        <v>1.2050799999999999</v>
      </c>
      <c r="AR133" s="3">
        <v>0.41958000000000001</v>
      </c>
      <c r="AS133" s="3">
        <v>8.0227000000000007E-2</v>
      </c>
      <c r="AT133" s="3">
        <v>5.1539799999999998</v>
      </c>
      <c r="AU133" s="3">
        <v>0</v>
      </c>
      <c r="AV133" s="3">
        <v>3.4005300000000002E-2</v>
      </c>
      <c r="AW133" s="3">
        <v>-0.61663999999999997</v>
      </c>
      <c r="AX133" s="3">
        <v>0</v>
      </c>
      <c r="AY133" s="3">
        <v>0</v>
      </c>
      <c r="AZ133" s="21">
        <v>-0.57851200000000003</v>
      </c>
      <c r="BA133" s="3">
        <v>31.481000000000002</v>
      </c>
      <c r="BB133" s="3">
        <v>9</v>
      </c>
    </row>
    <row r="134" spans="1:54" s="3" customFormat="1" ht="63" customHeight="1" x14ac:dyDescent="0.25">
      <c r="A134" s="2">
        <v>132</v>
      </c>
      <c r="B134" s="3">
        <v>3</v>
      </c>
      <c r="C134" s="2">
        <v>2</v>
      </c>
      <c r="D134" s="9">
        <v>85</v>
      </c>
      <c r="E134" s="3" t="s">
        <v>53</v>
      </c>
      <c r="F134" s="3">
        <f t="shared" si="19"/>
        <v>2</v>
      </c>
      <c r="G134" s="11" t="s">
        <v>76</v>
      </c>
      <c r="H134" s="3" t="s">
        <v>76</v>
      </c>
      <c r="I134" s="3">
        <f t="shared" si="17"/>
        <v>2</v>
      </c>
      <c r="J134" s="3" t="s">
        <v>77</v>
      </c>
      <c r="K134" s="3">
        <v>1</v>
      </c>
      <c r="L134" s="6" t="s">
        <v>175</v>
      </c>
      <c r="M134" s="3">
        <v>1</v>
      </c>
      <c r="N134" s="3">
        <f t="shared" si="18"/>
        <v>0.01</v>
      </c>
      <c r="O134" s="3">
        <v>2</v>
      </c>
      <c r="P134" s="3">
        <v>0.02</v>
      </c>
      <c r="Q134" s="17">
        <v>0.18229166666666671</v>
      </c>
      <c r="R134" s="21">
        <v>0.2116506719678547</v>
      </c>
      <c r="S134" s="3">
        <v>2</v>
      </c>
      <c r="T134" s="3">
        <v>50.54</v>
      </c>
      <c r="U134" s="3">
        <v>82.87</v>
      </c>
      <c r="V134" s="26">
        <v>-0.40389063922631901</v>
      </c>
      <c r="W134" s="18">
        <v>0.43187003352784697</v>
      </c>
      <c r="X134" s="18">
        <v>0.95587905942803797</v>
      </c>
      <c r="Y134" s="18">
        <v>-1.3892706888741799</v>
      </c>
      <c r="Z134" s="18">
        <v>1.08963644223358</v>
      </c>
      <c r="AA134" s="18">
        <v>0.66957927682953799</v>
      </c>
      <c r="AB134" s="18">
        <v>0.15471963761082999</v>
      </c>
      <c r="AC134" s="18">
        <v>-0.675471507667603</v>
      </c>
      <c r="AD134" s="18">
        <v>-0.49680537642135503</v>
      </c>
      <c r="AE134" s="21">
        <v>-4.4954468340711803E-2</v>
      </c>
      <c r="AF134" s="3">
        <v>3.4922599999999999</v>
      </c>
      <c r="AG134" s="3">
        <v>0.26380799999999999</v>
      </c>
      <c r="AH134" s="3">
        <v>2.7846600000000001</v>
      </c>
      <c r="AI134" s="3">
        <v>7.3931899999999997</v>
      </c>
      <c r="AJ134" s="3">
        <v>0.165544</v>
      </c>
      <c r="AK134" s="3">
        <v>0.78889799999999999</v>
      </c>
      <c r="AL134" s="3">
        <v>0</v>
      </c>
      <c r="AM134" s="3">
        <v>0</v>
      </c>
      <c r="AN134" s="3">
        <v>-0.422846</v>
      </c>
      <c r="AO134" s="3">
        <v>2.7492299999999998</v>
      </c>
      <c r="AP134" s="3">
        <v>0.20824500000000001</v>
      </c>
      <c r="AQ134" s="3">
        <v>2.1795499999999999</v>
      </c>
      <c r="AR134" s="3">
        <v>0</v>
      </c>
      <c r="AS134" s="3">
        <v>0</v>
      </c>
      <c r="AT134" s="3">
        <v>-0.42330400000000001</v>
      </c>
      <c r="AU134" s="3">
        <v>0</v>
      </c>
      <c r="AV134" s="3">
        <v>0</v>
      </c>
      <c r="AW134" s="3">
        <v>-0.49734499999999998</v>
      </c>
      <c r="AX134" s="3">
        <v>0.52012400000000003</v>
      </c>
      <c r="AY134" s="3">
        <v>6.14701E-2</v>
      </c>
      <c r="AZ134" s="21">
        <v>3.6967599999999998</v>
      </c>
      <c r="BA134" s="3">
        <v>32.329000000000001</v>
      </c>
      <c r="BB134" s="3">
        <v>1</v>
      </c>
    </row>
    <row r="135" spans="1:54" s="3" customFormat="1" ht="94.5" customHeight="1" x14ac:dyDescent="0.25">
      <c r="A135" s="2">
        <v>133</v>
      </c>
      <c r="B135" s="3">
        <v>3</v>
      </c>
      <c r="C135" s="2">
        <v>2</v>
      </c>
      <c r="D135" s="9">
        <v>85</v>
      </c>
      <c r="E135" s="3" t="s">
        <v>53</v>
      </c>
      <c r="F135" s="3">
        <f t="shared" si="19"/>
        <v>2</v>
      </c>
      <c r="G135" s="11"/>
      <c r="H135" s="3" t="s">
        <v>76</v>
      </c>
      <c r="I135" s="3">
        <f t="shared" si="17"/>
        <v>2</v>
      </c>
      <c r="J135" s="3" t="s">
        <v>78</v>
      </c>
      <c r="K135" s="3">
        <v>2</v>
      </c>
      <c r="L135" s="6" t="s">
        <v>219</v>
      </c>
      <c r="M135" s="3">
        <v>1</v>
      </c>
      <c r="N135" s="3">
        <f t="shared" si="18"/>
        <v>0.01</v>
      </c>
      <c r="O135" s="3">
        <v>2</v>
      </c>
      <c r="P135" s="3">
        <v>0.02</v>
      </c>
      <c r="Q135" s="17">
        <v>4.2222222222222237E-2</v>
      </c>
      <c r="R135" s="21">
        <v>0.1755177526106162</v>
      </c>
      <c r="S135" s="3">
        <v>3</v>
      </c>
      <c r="T135" s="3">
        <v>82.87</v>
      </c>
      <c r="U135" s="3">
        <v>133.13999999999999</v>
      </c>
      <c r="V135" s="26">
        <v>0.87939314500017296</v>
      </c>
      <c r="W135" s="18">
        <v>-3.9173839264980498E-2</v>
      </c>
      <c r="X135" s="18">
        <v>3.0250894236765701E-2</v>
      </c>
      <c r="Y135" s="18">
        <v>0.17094892376145299</v>
      </c>
      <c r="Z135" s="18">
        <v>2.06000623232518</v>
      </c>
      <c r="AA135" s="18">
        <v>1.5191823525617301</v>
      </c>
      <c r="AB135" s="18">
        <v>-0.193235681387497</v>
      </c>
      <c r="AC135" s="18">
        <v>-0.28657878280396198</v>
      </c>
      <c r="AD135" s="18">
        <v>0.77280332151389197</v>
      </c>
      <c r="AE135" s="21">
        <v>-0.30343370622643001</v>
      </c>
      <c r="AF135" s="3">
        <v>1.5758099999999999</v>
      </c>
      <c r="AG135" s="3">
        <v>0.191442</v>
      </c>
      <c r="AH135" s="3">
        <v>3.3931300000000002</v>
      </c>
      <c r="AI135" s="3">
        <v>24.878599999999999</v>
      </c>
      <c r="AJ135" s="3">
        <v>0.30378300000000003</v>
      </c>
      <c r="AK135" s="3">
        <v>0.87249200000000005</v>
      </c>
      <c r="AL135" s="3">
        <v>2.0771999999999999</v>
      </c>
      <c r="AM135" s="3">
        <v>0.30079499999999998</v>
      </c>
      <c r="AN135" s="3">
        <v>4.6084500000000004</v>
      </c>
      <c r="AO135" s="3">
        <v>9.9323499999999996</v>
      </c>
      <c r="AP135" s="3">
        <v>7.2295700000000004E-2</v>
      </c>
      <c r="AQ135" s="3">
        <v>1.6031</v>
      </c>
      <c r="AR135" s="3">
        <v>0.14325499999999999</v>
      </c>
      <c r="AS135" s="3">
        <v>3.5023800000000001E-2</v>
      </c>
      <c r="AT135" s="3">
        <v>7.5263099999999996</v>
      </c>
      <c r="AU135" s="3">
        <v>0.334262</v>
      </c>
      <c r="AV135" s="3">
        <v>8.8739600000000002E-2</v>
      </c>
      <c r="AW135" s="3">
        <v>4.6302000000000003</v>
      </c>
      <c r="AX135" s="3">
        <v>0</v>
      </c>
      <c r="AY135" s="3">
        <v>2.4718199999999999E-2</v>
      </c>
      <c r="AZ135" s="21">
        <v>-0.51742100000000002</v>
      </c>
      <c r="BA135" s="3">
        <v>50.268999999999998</v>
      </c>
      <c r="BB135" s="3">
        <v>2</v>
      </c>
    </row>
    <row r="136" spans="1:54" s="3" customFormat="1" ht="94.5" customHeight="1" x14ac:dyDescent="0.25">
      <c r="A136" s="2">
        <v>134</v>
      </c>
      <c r="B136" s="3">
        <v>3</v>
      </c>
      <c r="C136" s="2">
        <v>2</v>
      </c>
      <c r="D136" s="9">
        <v>85</v>
      </c>
      <c r="E136" s="3" t="s">
        <v>53</v>
      </c>
      <c r="F136" s="3">
        <f t="shared" si="19"/>
        <v>2</v>
      </c>
      <c r="G136" s="11"/>
      <c r="H136" s="3" t="s">
        <v>76</v>
      </c>
      <c r="I136" s="3">
        <f t="shared" si="17"/>
        <v>2</v>
      </c>
      <c r="J136" s="3" t="s">
        <v>79</v>
      </c>
      <c r="K136" s="3">
        <v>3</v>
      </c>
      <c r="L136" s="6" t="s">
        <v>188</v>
      </c>
      <c r="M136" s="3">
        <v>1</v>
      </c>
      <c r="N136" s="3">
        <f t="shared" si="18"/>
        <v>0.01</v>
      </c>
      <c r="O136" s="3">
        <v>2</v>
      </c>
      <c r="P136" s="3">
        <v>0.02</v>
      </c>
      <c r="Q136" s="17">
        <v>3.5000000000000003E-2</v>
      </c>
      <c r="R136" s="21">
        <v>0.25470571253900059</v>
      </c>
      <c r="S136" s="3">
        <v>4</v>
      </c>
      <c r="T136" s="3">
        <v>133.13999999999999</v>
      </c>
      <c r="U136" s="3">
        <v>179.24</v>
      </c>
      <c r="V136" s="26">
        <v>0.75025708335476304</v>
      </c>
      <c r="W136" s="18">
        <v>1.3805714874977499</v>
      </c>
      <c r="X136" s="18">
        <v>1.21398833738698</v>
      </c>
      <c r="Y136" s="18">
        <v>0.27247840269632101</v>
      </c>
      <c r="Z136" s="18">
        <v>-1.15858499162544</v>
      </c>
      <c r="AA136" s="18">
        <v>-0.96734015940270701</v>
      </c>
      <c r="AB136" s="18">
        <v>0.81516289464088099</v>
      </c>
      <c r="AC136" s="18">
        <v>0.96651999731221605</v>
      </c>
      <c r="AD136" s="18">
        <v>-0.29348725753492799</v>
      </c>
      <c r="AE136" s="21">
        <v>-0.67499761068714903</v>
      </c>
      <c r="AF136" s="3">
        <v>0</v>
      </c>
      <c r="AG136" s="3">
        <v>0.240675</v>
      </c>
      <c r="AH136" s="3">
        <v>-0.54481500000000005</v>
      </c>
      <c r="AI136" s="3">
        <v>20.66</v>
      </c>
      <c r="AJ136" s="3">
        <v>0.15772700000000001</v>
      </c>
      <c r="AK136" s="3">
        <v>0.75525600000000004</v>
      </c>
      <c r="AL136" s="3">
        <v>5.4450700000000003</v>
      </c>
      <c r="AM136" s="3">
        <v>0.115138</v>
      </c>
      <c r="AN136" s="3">
        <v>4.2926900000000003</v>
      </c>
      <c r="AO136" s="3">
        <v>13.860200000000001</v>
      </c>
      <c r="AP136" s="3">
        <v>5.7879199999999999E-2</v>
      </c>
      <c r="AQ136" s="3">
        <v>1.4224699999999999</v>
      </c>
      <c r="AR136" s="3">
        <v>0</v>
      </c>
      <c r="AS136" s="3">
        <v>4.1965599999999999E-2</v>
      </c>
      <c r="AT136" s="3">
        <v>6.1218499999999999E-3</v>
      </c>
      <c r="AU136" s="3">
        <v>0.52105900000000005</v>
      </c>
      <c r="AV136" s="3">
        <v>0.26711000000000001</v>
      </c>
      <c r="AW136" s="3">
        <v>5.1227499999999999</v>
      </c>
      <c r="AX136" s="3">
        <v>1.6934400000000001</v>
      </c>
      <c r="AY136" s="3">
        <v>0.14478199999999999</v>
      </c>
      <c r="AZ136" s="21">
        <v>4.5162399999999998</v>
      </c>
      <c r="BA136" s="3">
        <v>46.094999999999999</v>
      </c>
      <c r="BB136" s="3">
        <v>3</v>
      </c>
    </row>
    <row r="137" spans="1:54" s="3" customFormat="1" ht="141.75" customHeight="1" x14ac:dyDescent="0.25">
      <c r="A137" s="2">
        <v>135</v>
      </c>
      <c r="B137" s="3">
        <v>3</v>
      </c>
      <c r="C137" s="2">
        <v>2</v>
      </c>
      <c r="D137" s="9">
        <v>85</v>
      </c>
      <c r="E137" s="3" t="s">
        <v>53</v>
      </c>
      <c r="F137" s="3">
        <f t="shared" si="19"/>
        <v>2</v>
      </c>
      <c r="G137" s="11"/>
      <c r="H137" s="3" t="s">
        <v>76</v>
      </c>
      <c r="I137" s="3">
        <f t="shared" si="17"/>
        <v>2</v>
      </c>
      <c r="J137" s="3" t="s">
        <v>80</v>
      </c>
      <c r="K137" s="3">
        <v>4</v>
      </c>
      <c r="L137" s="6" t="s">
        <v>171</v>
      </c>
      <c r="M137" s="3">
        <v>1</v>
      </c>
      <c r="N137" s="3">
        <f t="shared" si="18"/>
        <v>0.01</v>
      </c>
      <c r="O137" s="3">
        <v>2</v>
      </c>
      <c r="P137" s="3">
        <v>0.02</v>
      </c>
      <c r="Q137" s="17">
        <v>0.12063492063492059</v>
      </c>
      <c r="R137" s="21">
        <v>0.41304243902702031</v>
      </c>
      <c r="S137" s="3">
        <v>5</v>
      </c>
      <c r="T137" s="3">
        <v>179.24</v>
      </c>
      <c r="U137" s="3">
        <v>259.33</v>
      </c>
      <c r="V137" s="26">
        <v>-0.50750619057463697</v>
      </c>
      <c r="W137" s="18">
        <v>0.42860208350269002</v>
      </c>
      <c r="X137" s="18">
        <v>0.38522743863700598</v>
      </c>
      <c r="Y137" s="18">
        <v>-0.56935458315846699</v>
      </c>
      <c r="Z137" s="18">
        <v>-0.194860694630732</v>
      </c>
      <c r="AA137" s="18">
        <v>-0.272669318382669</v>
      </c>
      <c r="AB137" s="18">
        <v>0.75162368057442996</v>
      </c>
      <c r="AC137" s="18">
        <v>7.7914047664323499E-3</v>
      </c>
      <c r="AD137" s="18">
        <v>-0.23740866526690599</v>
      </c>
      <c r="AE137" s="21">
        <v>0.44263136676189302</v>
      </c>
      <c r="AF137" s="3">
        <v>0.53946099999999997</v>
      </c>
      <c r="AG137" s="3">
        <v>8.8640499999999997E-2</v>
      </c>
      <c r="AH137" s="3">
        <v>2.32789</v>
      </c>
      <c r="AI137" s="3">
        <v>11.5534</v>
      </c>
      <c r="AJ137" s="3">
        <v>0.15374299999999999</v>
      </c>
      <c r="AK137" s="3">
        <v>0.56082299999999996</v>
      </c>
      <c r="AL137" s="3">
        <v>0</v>
      </c>
      <c r="AM137" s="3">
        <v>4.3144099999999998E-2</v>
      </c>
      <c r="AN137" s="3">
        <v>-0.37955800000000001</v>
      </c>
      <c r="AO137" s="3">
        <v>4.4205800000000002</v>
      </c>
      <c r="AP137" s="3">
        <v>7.6070100000000002E-2</v>
      </c>
      <c r="AQ137" s="3">
        <v>1.70899</v>
      </c>
      <c r="AR137" s="3">
        <v>8.9910100000000007E-2</v>
      </c>
      <c r="AS137" s="3">
        <v>0.12564500000000001</v>
      </c>
      <c r="AT137" s="3">
        <v>7.7619800000000003</v>
      </c>
      <c r="AU137" s="3">
        <v>0</v>
      </c>
      <c r="AV137" s="3">
        <v>0</v>
      </c>
      <c r="AW137" s="3">
        <v>-0.49734499999999998</v>
      </c>
      <c r="AX137" s="3">
        <v>0.17982000000000001</v>
      </c>
      <c r="AY137" s="3">
        <v>0.169819</v>
      </c>
      <c r="AZ137" s="21">
        <v>4.4192200000000001</v>
      </c>
      <c r="BA137" s="3">
        <v>80.090999999999994</v>
      </c>
      <c r="BB137" s="3">
        <v>4</v>
      </c>
    </row>
    <row r="138" spans="1:54" s="3" customFormat="1" ht="157.5" customHeight="1" x14ac:dyDescent="0.25">
      <c r="A138" s="2">
        <v>136</v>
      </c>
      <c r="B138" s="3">
        <v>3</v>
      </c>
      <c r="C138" s="2">
        <v>2</v>
      </c>
      <c r="D138" s="9">
        <v>85</v>
      </c>
      <c r="E138" s="3" t="s">
        <v>53</v>
      </c>
      <c r="F138" s="3">
        <f t="shared" si="19"/>
        <v>2</v>
      </c>
      <c r="G138" s="11"/>
      <c r="H138" s="3" t="s">
        <v>76</v>
      </c>
      <c r="I138" s="3">
        <f t="shared" si="17"/>
        <v>2</v>
      </c>
      <c r="J138" s="3" t="s">
        <v>81</v>
      </c>
      <c r="K138" s="3">
        <v>5</v>
      </c>
      <c r="L138" s="6" t="s">
        <v>217</v>
      </c>
      <c r="M138" s="3">
        <v>1</v>
      </c>
      <c r="N138" s="3">
        <f t="shared" si="18"/>
        <v>0.01</v>
      </c>
      <c r="O138" s="3">
        <v>2</v>
      </c>
      <c r="P138" s="3">
        <v>0.02</v>
      </c>
      <c r="Q138" s="17">
        <v>-3.9930555555555559E-2</v>
      </c>
      <c r="R138" s="21">
        <v>0.30852917016482018</v>
      </c>
      <c r="S138" s="3">
        <v>7</v>
      </c>
      <c r="T138" s="3">
        <v>283.02999999999997</v>
      </c>
      <c r="U138" s="3">
        <v>363.96</v>
      </c>
      <c r="V138" s="26">
        <v>5.6519882412367099E-2</v>
      </c>
      <c r="W138" s="18">
        <v>-0.51288653791168604</v>
      </c>
      <c r="X138" s="18">
        <v>-0.93535382444373105</v>
      </c>
      <c r="Y138" s="18">
        <v>0.26476066370717499</v>
      </c>
      <c r="Z138" s="18">
        <v>0.41281852990312601</v>
      </c>
      <c r="AA138" s="18">
        <v>-6.9162996873924507E-2</v>
      </c>
      <c r="AB138" s="18">
        <v>-0.31640801029500198</v>
      </c>
      <c r="AC138" s="18">
        <v>0.26898225271552401</v>
      </c>
      <c r="AD138" s="18">
        <v>0.248162842191267</v>
      </c>
      <c r="AE138" s="21">
        <v>-0.86591977503455497</v>
      </c>
      <c r="AF138" s="3">
        <v>9.7750299999999992</v>
      </c>
      <c r="AG138" s="3">
        <v>0.12182</v>
      </c>
      <c r="AH138" s="3">
        <v>2.1936499999999999</v>
      </c>
      <c r="AI138" s="3">
        <v>13.869</v>
      </c>
      <c r="AJ138" s="3">
        <v>0.311973</v>
      </c>
      <c r="AK138" s="3">
        <v>1.3143199999999999</v>
      </c>
      <c r="AL138" s="3">
        <v>0</v>
      </c>
      <c r="AM138" s="3">
        <v>0.24613199999999999</v>
      </c>
      <c r="AN138" s="3">
        <v>-0.16624</v>
      </c>
      <c r="AO138" s="3">
        <v>3.2039599999999999</v>
      </c>
      <c r="AP138" s="3">
        <v>5.7154799999999999E-2</v>
      </c>
      <c r="AQ138" s="3">
        <v>1.52213</v>
      </c>
      <c r="AR138" s="3">
        <v>0</v>
      </c>
      <c r="AS138" s="3">
        <v>0</v>
      </c>
      <c r="AT138" s="3">
        <v>-0.42330400000000001</v>
      </c>
      <c r="AU138" s="3">
        <v>0</v>
      </c>
      <c r="AV138" s="3">
        <v>0</v>
      </c>
      <c r="AW138" s="3">
        <v>-0.49734499999999998</v>
      </c>
      <c r="AX138" s="3">
        <v>0</v>
      </c>
      <c r="AY138" s="3">
        <v>5.7879199999999999E-2</v>
      </c>
      <c r="AZ138" s="21">
        <v>1.0103899999999999</v>
      </c>
      <c r="BA138" s="3">
        <v>80.927999999999997</v>
      </c>
      <c r="BB138" s="3">
        <v>5</v>
      </c>
    </row>
    <row r="139" spans="1:54" s="3" customFormat="1" ht="78.75" customHeight="1" x14ac:dyDescent="0.25">
      <c r="A139" s="2">
        <v>137</v>
      </c>
      <c r="B139" s="3">
        <v>3</v>
      </c>
      <c r="C139" s="2">
        <v>2</v>
      </c>
      <c r="D139" s="9">
        <v>85</v>
      </c>
      <c r="E139" s="3" t="s">
        <v>53</v>
      </c>
      <c r="F139" s="3">
        <f t="shared" si="19"/>
        <v>2</v>
      </c>
      <c r="G139" s="11"/>
      <c r="H139" s="3" t="s">
        <v>76</v>
      </c>
      <c r="I139" s="3">
        <f t="shared" si="17"/>
        <v>2</v>
      </c>
      <c r="J139" s="3" t="s">
        <v>82</v>
      </c>
      <c r="K139" s="3">
        <v>6</v>
      </c>
      <c r="L139" s="6" t="s">
        <v>190</v>
      </c>
      <c r="M139" s="3">
        <v>1</v>
      </c>
      <c r="N139" s="3">
        <f t="shared" si="18"/>
        <v>0.01</v>
      </c>
      <c r="O139" s="3">
        <v>2</v>
      </c>
      <c r="P139" s="3">
        <v>0.02</v>
      </c>
      <c r="Q139" s="17">
        <v>2.6984126984126989E-2</v>
      </c>
      <c r="R139" s="21">
        <v>0.21640959515414179</v>
      </c>
      <c r="S139" s="3">
        <v>9</v>
      </c>
      <c r="T139" s="3">
        <v>371.64</v>
      </c>
      <c r="U139" s="3">
        <v>415.1</v>
      </c>
      <c r="V139" s="26">
        <v>-1.1186566163148599</v>
      </c>
      <c r="W139" s="18">
        <v>0.106070977686468</v>
      </c>
      <c r="X139" s="18">
        <v>0.30249439156035102</v>
      </c>
      <c r="Y139" s="18">
        <v>-0.74600089060418895</v>
      </c>
      <c r="Z139" s="18">
        <v>-1.0769221053000699</v>
      </c>
      <c r="AA139" s="18">
        <v>-0.859958681006878</v>
      </c>
      <c r="AB139" s="18">
        <v>0.44246894721504199</v>
      </c>
      <c r="AC139" s="18">
        <v>1.1906734428933401</v>
      </c>
      <c r="AD139" s="18">
        <v>1.57305280643812</v>
      </c>
      <c r="AE139" s="21">
        <v>-0.85857661486734704</v>
      </c>
      <c r="AF139" s="3">
        <v>13.9503</v>
      </c>
      <c r="AG139" s="3">
        <v>0.281941</v>
      </c>
      <c r="AH139" s="3">
        <v>2.9607100000000002</v>
      </c>
      <c r="AI139" s="3">
        <v>1.16022</v>
      </c>
      <c r="AJ139" s="3">
        <v>0.37982100000000002</v>
      </c>
      <c r="AK139" s="3">
        <v>0.92491199999999996</v>
      </c>
      <c r="AL139" s="3">
        <v>0</v>
      </c>
      <c r="AM139" s="3">
        <v>0</v>
      </c>
      <c r="AN139" s="3">
        <v>-0.422846</v>
      </c>
      <c r="AO139" s="3">
        <v>0</v>
      </c>
      <c r="AP139" s="3">
        <v>0.209643</v>
      </c>
      <c r="AQ139" s="3">
        <v>-1.3523700000000001</v>
      </c>
      <c r="AR139" s="3">
        <v>0</v>
      </c>
      <c r="AS139" s="3">
        <v>0</v>
      </c>
      <c r="AT139" s="3">
        <v>-0.42330400000000001</v>
      </c>
      <c r="AU139" s="3">
        <v>0</v>
      </c>
      <c r="AV139" s="3">
        <v>2.42356E-2</v>
      </c>
      <c r="AW139" s="3">
        <v>-0.47443600000000002</v>
      </c>
      <c r="AX139" s="3">
        <v>0</v>
      </c>
      <c r="AY139" s="3">
        <v>5.7746100000000002E-2</v>
      </c>
      <c r="AZ139" s="21">
        <v>-0.49293100000000001</v>
      </c>
      <c r="BA139" s="3">
        <v>43.462000000000003</v>
      </c>
      <c r="BB139" s="3">
        <v>6</v>
      </c>
    </row>
    <row r="140" spans="1:54" s="3" customFormat="1" ht="220.5" customHeight="1" x14ac:dyDescent="0.25">
      <c r="A140" s="2">
        <v>138</v>
      </c>
      <c r="B140" s="3">
        <v>3</v>
      </c>
      <c r="C140" s="2">
        <v>2</v>
      </c>
      <c r="D140" s="9">
        <v>85</v>
      </c>
      <c r="E140" s="3" t="s">
        <v>53</v>
      </c>
      <c r="F140" s="3">
        <f t="shared" si="19"/>
        <v>2</v>
      </c>
      <c r="G140" s="11" t="s">
        <v>84</v>
      </c>
      <c r="H140" s="3" t="s">
        <v>84</v>
      </c>
      <c r="I140" s="3">
        <f t="shared" si="17"/>
        <v>3</v>
      </c>
      <c r="J140" s="3" t="s">
        <v>85</v>
      </c>
      <c r="K140" s="3">
        <v>1</v>
      </c>
      <c r="L140" s="6" t="s">
        <v>220</v>
      </c>
      <c r="M140" s="3">
        <v>1</v>
      </c>
      <c r="N140" s="3">
        <f t="shared" si="18"/>
        <v>0.01</v>
      </c>
      <c r="O140" s="3">
        <v>2</v>
      </c>
      <c r="P140" s="3">
        <v>0.02</v>
      </c>
      <c r="Q140" s="17">
        <v>0.1645833333333333</v>
      </c>
      <c r="R140" s="21">
        <v>0.18275131443930279</v>
      </c>
      <c r="S140" s="3">
        <v>2</v>
      </c>
      <c r="T140" s="3">
        <v>48.54</v>
      </c>
      <c r="U140" s="3">
        <v>179.11</v>
      </c>
      <c r="V140" s="26">
        <v>-1.52567404434376</v>
      </c>
      <c r="W140" s="18">
        <v>-1.0275186393733899</v>
      </c>
      <c r="X140" s="18">
        <v>-1.2737933596164499</v>
      </c>
      <c r="Y140" s="18">
        <v>-0.87308133065846005</v>
      </c>
      <c r="Z140" s="18">
        <v>-0.198566835011696</v>
      </c>
      <c r="AA140" s="18">
        <v>0.16804500845155301</v>
      </c>
      <c r="AB140" s="18">
        <v>-0.87591766334080401</v>
      </c>
      <c r="AC140" s="18">
        <v>0.28595772880084303</v>
      </c>
      <c r="AD140" s="18">
        <v>-2.3991084265859001E-2</v>
      </c>
      <c r="AE140" s="21">
        <v>1.1622610631482699</v>
      </c>
      <c r="AF140" s="3">
        <v>4.0907</v>
      </c>
      <c r="AG140" s="3">
        <v>0.22925499999999999</v>
      </c>
      <c r="AH140" s="3">
        <v>2.3119000000000001</v>
      </c>
      <c r="AI140" s="3">
        <v>4.2285899999999996</v>
      </c>
      <c r="AJ140" s="3">
        <v>9.1485800000000006E-2</v>
      </c>
      <c r="AK140" s="3">
        <v>1.4969699999999999</v>
      </c>
      <c r="AL140" s="3">
        <v>0.56074800000000002</v>
      </c>
      <c r="AM140" s="3">
        <v>8.9783699999999994E-2</v>
      </c>
      <c r="AN140" s="3">
        <v>3.5398499999999999</v>
      </c>
      <c r="AO140" s="3">
        <v>0</v>
      </c>
      <c r="AP140" s="3">
        <v>0.12839800000000001</v>
      </c>
      <c r="AQ140" s="3">
        <v>1.4359599999999999</v>
      </c>
      <c r="AR140" s="3">
        <v>0</v>
      </c>
      <c r="AS140" s="3">
        <v>0</v>
      </c>
      <c r="AT140" s="3">
        <v>-0.27880100000000002</v>
      </c>
      <c r="AU140" s="3">
        <v>0</v>
      </c>
      <c r="AV140" s="3">
        <v>0</v>
      </c>
      <c r="AW140" s="3">
        <v>-0.49751800000000002</v>
      </c>
      <c r="AX140" s="3">
        <v>0.52397700000000003</v>
      </c>
      <c r="AY140" s="3">
        <v>0.10627499999999999</v>
      </c>
      <c r="AZ140" s="21">
        <v>3.4076200000000001</v>
      </c>
      <c r="BA140" s="3">
        <v>130.56200000000001</v>
      </c>
      <c r="BB140" s="3">
        <v>1</v>
      </c>
    </row>
    <row r="141" spans="1:54" s="3" customFormat="1" ht="78.75" customHeight="1" x14ac:dyDescent="0.25">
      <c r="A141" s="2">
        <v>139</v>
      </c>
      <c r="B141" s="3">
        <v>3</v>
      </c>
      <c r="C141" s="2">
        <v>2</v>
      </c>
      <c r="D141" s="9">
        <v>85</v>
      </c>
      <c r="E141" s="3" t="s">
        <v>53</v>
      </c>
      <c r="F141" s="3">
        <f>IF(E242="Happy", 1,2)</f>
        <v>2</v>
      </c>
      <c r="G141" s="11"/>
      <c r="H141" s="3" t="s">
        <v>84</v>
      </c>
      <c r="I141" s="3">
        <f t="shared" si="17"/>
        <v>3</v>
      </c>
      <c r="J141" s="3" t="s">
        <v>86</v>
      </c>
      <c r="K141" s="3">
        <v>2</v>
      </c>
      <c r="L141" s="6" t="s">
        <v>176</v>
      </c>
      <c r="M141" s="3">
        <v>1</v>
      </c>
      <c r="N141" s="3">
        <f t="shared" si="18"/>
        <v>0.01</v>
      </c>
      <c r="O141" s="3">
        <v>2</v>
      </c>
      <c r="P141" s="3">
        <v>0.02</v>
      </c>
      <c r="Q141" s="17">
        <v>-0.14461111111111111</v>
      </c>
      <c r="R141" s="21">
        <v>0.4477366606432297</v>
      </c>
      <c r="S141" s="3">
        <v>4</v>
      </c>
      <c r="T141" s="3">
        <v>194.37</v>
      </c>
      <c r="U141" s="3">
        <v>231.84</v>
      </c>
      <c r="V141" s="26">
        <v>0.23730311562734499</v>
      </c>
      <c r="W141" s="18">
        <v>5.51921081281284E-2</v>
      </c>
      <c r="X141" s="18">
        <v>0.846527434469731</v>
      </c>
      <c r="Y141" s="18">
        <v>-0.227338858731751</v>
      </c>
      <c r="Z141" s="18">
        <v>0.15683924772829499</v>
      </c>
      <c r="AA141" s="18">
        <v>-0.10549122892334099</v>
      </c>
      <c r="AB141" s="18">
        <v>-0.30187732117652599</v>
      </c>
      <c r="AC141" s="18">
        <v>0.98002321692553596</v>
      </c>
      <c r="AD141" s="18">
        <v>-1.1351976921928599</v>
      </c>
      <c r="AE141" s="21">
        <v>-0.47966955023941898</v>
      </c>
      <c r="AF141" s="3">
        <v>4.80769</v>
      </c>
      <c r="AG141" s="3">
        <v>9.0045299999999995E-2</v>
      </c>
      <c r="AH141" s="3">
        <v>1.9465600000000001</v>
      </c>
      <c r="AI141" s="3">
        <v>10.897399999999999</v>
      </c>
      <c r="AJ141" s="3">
        <v>6.4083299999999996E-2</v>
      </c>
      <c r="AK141" s="3">
        <v>1.2320899999999999</v>
      </c>
      <c r="AL141" s="3">
        <v>0</v>
      </c>
      <c r="AM141" s="3">
        <v>0.12812799999999999</v>
      </c>
      <c r="AN141" s="3">
        <v>0.37357099999999999</v>
      </c>
      <c r="AO141" s="3">
        <v>3.9743599999999999</v>
      </c>
      <c r="AP141" s="3">
        <v>5.1343100000000003E-2</v>
      </c>
      <c r="AQ141" s="3">
        <v>2.0840800000000002</v>
      </c>
      <c r="AR141" s="3">
        <v>0</v>
      </c>
      <c r="AS141" s="3">
        <v>1.58114E-2</v>
      </c>
      <c r="AT141" s="3">
        <v>-0.20885300000000001</v>
      </c>
      <c r="AU141" s="3">
        <v>0</v>
      </c>
      <c r="AV141" s="3">
        <v>9.4222E-2</v>
      </c>
      <c r="AW141" s="3">
        <v>-0.37148700000000001</v>
      </c>
      <c r="AX141" s="3">
        <v>1.3141</v>
      </c>
      <c r="AY141" s="3">
        <v>5.7619400000000001E-2</v>
      </c>
      <c r="AZ141" s="21">
        <v>3.1715300000000002</v>
      </c>
      <c r="BA141" s="3">
        <v>37.463000000000001</v>
      </c>
      <c r="BB141" s="3">
        <v>2</v>
      </c>
    </row>
    <row r="142" spans="1:54" s="3" customFormat="1" ht="94.5" customHeight="1" x14ac:dyDescent="0.25">
      <c r="A142" s="2">
        <v>140</v>
      </c>
      <c r="B142" s="3">
        <v>3</v>
      </c>
      <c r="C142" s="2">
        <v>2</v>
      </c>
      <c r="D142" s="9">
        <v>85</v>
      </c>
      <c r="E142" s="3" t="s">
        <v>53</v>
      </c>
      <c r="F142" s="3">
        <f>IF(E243="Happy", 1,2)</f>
        <v>2</v>
      </c>
      <c r="G142" s="11"/>
      <c r="H142" s="3" t="s">
        <v>84</v>
      </c>
      <c r="I142" s="3">
        <f t="shared" si="17"/>
        <v>3</v>
      </c>
      <c r="J142" s="3" t="s">
        <v>87</v>
      </c>
      <c r="K142" s="3">
        <v>3</v>
      </c>
      <c r="L142" s="6" t="s">
        <v>143</v>
      </c>
      <c r="M142" s="3">
        <v>1</v>
      </c>
      <c r="N142" s="3">
        <f t="shared" si="18"/>
        <v>0.01</v>
      </c>
      <c r="O142" s="3">
        <v>2</v>
      </c>
      <c r="P142" s="3">
        <v>0.02</v>
      </c>
      <c r="Q142" s="17">
        <v>-6.8541666666666681E-2</v>
      </c>
      <c r="R142" s="21">
        <v>0.35461295410943777</v>
      </c>
      <c r="S142" s="3">
        <v>5</v>
      </c>
      <c r="T142" s="3">
        <v>231.84</v>
      </c>
      <c r="U142" s="3">
        <v>275.77</v>
      </c>
      <c r="V142" s="26">
        <v>0.241882922996941</v>
      </c>
      <c r="W142" s="18">
        <v>-0.57263555753830897</v>
      </c>
      <c r="X142" s="18">
        <v>-0.67617206836105703</v>
      </c>
      <c r="Y142" s="18">
        <v>0.147908101051138</v>
      </c>
      <c r="Z142" s="18">
        <v>8.8722943485067499E-2</v>
      </c>
      <c r="AA142" s="18">
        <v>0.117833592886538</v>
      </c>
      <c r="AB142" s="18">
        <v>1.0023952508448899</v>
      </c>
      <c r="AC142" s="18">
        <v>6.3733314593047194E-2</v>
      </c>
      <c r="AD142" s="18">
        <v>-0.62756683327380203</v>
      </c>
      <c r="AE142" s="21">
        <v>0.78629126258722204</v>
      </c>
      <c r="AF142" s="3">
        <v>2.5409799999999998</v>
      </c>
      <c r="AG142" s="3">
        <v>0.33517799999999998</v>
      </c>
      <c r="AH142" s="3">
        <v>2.8994800000000001</v>
      </c>
      <c r="AI142" s="3">
        <v>5.0819700000000001</v>
      </c>
      <c r="AJ142" s="3">
        <v>0.12314799999999999</v>
      </c>
      <c r="AK142" s="3">
        <v>1.4190700000000001</v>
      </c>
      <c r="AL142" s="3">
        <v>0</v>
      </c>
      <c r="AM142" s="3">
        <v>0</v>
      </c>
      <c r="AN142" s="3">
        <v>-0.44307299999999999</v>
      </c>
      <c r="AO142" s="3">
        <v>1.2568299999999999</v>
      </c>
      <c r="AP142" s="3">
        <v>0.392121</v>
      </c>
      <c r="AQ142" s="3">
        <v>3.4597500000000001</v>
      </c>
      <c r="AR142" s="3">
        <v>0</v>
      </c>
      <c r="AS142" s="3">
        <v>0.123336</v>
      </c>
      <c r="AT142" s="3">
        <v>0.630525</v>
      </c>
      <c r="AU142" s="3">
        <v>0</v>
      </c>
      <c r="AV142" s="3">
        <v>0.18383099999999999</v>
      </c>
      <c r="AW142" s="3">
        <v>-0.300595</v>
      </c>
      <c r="AX142" s="3">
        <v>0</v>
      </c>
      <c r="AY142" s="3">
        <v>0.62939699999999998</v>
      </c>
      <c r="AZ142" s="21">
        <v>1.2083999999999999</v>
      </c>
      <c r="BA142" s="3">
        <v>43.936999999999998</v>
      </c>
      <c r="BB142" s="3">
        <v>3</v>
      </c>
    </row>
    <row r="143" spans="1:54" s="3" customFormat="1" ht="63" customHeight="1" x14ac:dyDescent="0.25">
      <c r="A143" s="2">
        <v>141</v>
      </c>
      <c r="B143" s="3">
        <v>3</v>
      </c>
      <c r="C143" s="2">
        <v>2</v>
      </c>
      <c r="D143" s="9">
        <v>85</v>
      </c>
      <c r="E143" s="3" t="s">
        <v>53</v>
      </c>
      <c r="F143" s="3">
        <f t="shared" ref="F143:F150" si="20">IF(E243="Happy", 1,2)</f>
        <v>2</v>
      </c>
      <c r="G143" s="11"/>
      <c r="H143" s="3" t="s">
        <v>84</v>
      </c>
      <c r="I143" s="3">
        <f t="shared" si="17"/>
        <v>3</v>
      </c>
      <c r="J143" s="3" t="s">
        <v>88</v>
      </c>
      <c r="K143" s="3">
        <v>4</v>
      </c>
      <c r="L143" s="6" t="s">
        <v>160</v>
      </c>
      <c r="M143" s="3">
        <v>1</v>
      </c>
      <c r="N143" s="3">
        <f t="shared" si="18"/>
        <v>0.01</v>
      </c>
      <c r="O143" s="3">
        <v>2</v>
      </c>
      <c r="P143" s="3">
        <v>0.02</v>
      </c>
      <c r="Q143" s="17">
        <v>-0.1333333333333333</v>
      </c>
      <c r="R143" s="21">
        <v>0.53954713520795494</v>
      </c>
      <c r="S143" s="3">
        <v>6</v>
      </c>
      <c r="T143" s="3">
        <v>275.77</v>
      </c>
      <c r="U143" s="3">
        <v>303.99</v>
      </c>
      <c r="V143" s="26">
        <v>-0.55270847485034102</v>
      </c>
      <c r="W143" s="18">
        <v>1.1269163188784099</v>
      </c>
      <c r="X143" s="18">
        <v>1.3736915759445001</v>
      </c>
      <c r="Y143" s="18">
        <v>-0.756978063049911</v>
      </c>
      <c r="Z143" s="18">
        <v>-1.0874015367220999</v>
      </c>
      <c r="AA143" s="18">
        <v>-0.61623547162371095</v>
      </c>
      <c r="AB143" s="18">
        <v>0.62907632754298703</v>
      </c>
      <c r="AC143" s="18">
        <v>1.7713118862661399</v>
      </c>
      <c r="AD143" s="18">
        <v>-1.3393131370357001</v>
      </c>
      <c r="AE143" s="21">
        <v>1.4603933659369099</v>
      </c>
      <c r="AF143" s="3">
        <v>1.1914899999999999</v>
      </c>
      <c r="AG143" s="3">
        <v>7.3906799999999995E-2</v>
      </c>
      <c r="AH143" s="3">
        <v>1.97505</v>
      </c>
      <c r="AI143" s="3">
        <v>0.25531900000000002</v>
      </c>
      <c r="AJ143" s="3">
        <v>9.9933300000000003E-2</v>
      </c>
      <c r="AK143" s="3">
        <v>1.7812699999999999</v>
      </c>
      <c r="AL143" s="3">
        <v>0.68085099999999998</v>
      </c>
      <c r="AM143" s="3">
        <v>3.0441200000000002E-2</v>
      </c>
      <c r="AN143" s="3">
        <v>3.37249</v>
      </c>
      <c r="AO143" s="3">
        <v>25.4468</v>
      </c>
      <c r="AP143" s="3">
        <v>0.42114800000000002</v>
      </c>
      <c r="AQ143" s="3">
        <v>4.4030399999999998</v>
      </c>
      <c r="AR143" s="3">
        <v>0</v>
      </c>
      <c r="AS143" s="3">
        <v>3.5445900000000002E-2</v>
      </c>
      <c r="AT143" s="3">
        <v>-0.20669999999999999</v>
      </c>
      <c r="AU143" s="3">
        <v>0</v>
      </c>
      <c r="AV143" s="3">
        <v>0.22687499999999999</v>
      </c>
      <c r="AW143" s="3">
        <v>5.9490099999999997E-2</v>
      </c>
      <c r="AX143" s="3">
        <v>3.1914899999999999</v>
      </c>
      <c r="AY143" s="3">
        <v>0.51886399999999999</v>
      </c>
      <c r="AZ143" s="21">
        <v>10.5829</v>
      </c>
      <c r="BA143" s="3">
        <v>28.218</v>
      </c>
      <c r="BB143" s="3">
        <v>4</v>
      </c>
    </row>
    <row r="144" spans="1:54" s="3" customFormat="1" ht="173.25" customHeight="1" x14ac:dyDescent="0.25">
      <c r="A144" s="2">
        <v>142</v>
      </c>
      <c r="B144" s="3">
        <v>3</v>
      </c>
      <c r="C144" s="2">
        <v>2</v>
      </c>
      <c r="D144" s="9">
        <v>85</v>
      </c>
      <c r="E144" s="3" t="s">
        <v>53</v>
      </c>
      <c r="F144" s="3">
        <f t="shared" si="20"/>
        <v>2</v>
      </c>
      <c r="G144" s="11"/>
      <c r="H144" s="3" t="s">
        <v>84</v>
      </c>
      <c r="I144" s="3">
        <f t="shared" si="17"/>
        <v>3</v>
      </c>
      <c r="J144" s="3" t="s">
        <v>89</v>
      </c>
      <c r="K144" s="3">
        <v>5</v>
      </c>
      <c r="L144" s="6" t="s">
        <v>221</v>
      </c>
      <c r="M144" s="3">
        <v>1</v>
      </c>
      <c r="N144" s="3">
        <f t="shared" si="18"/>
        <v>0.01</v>
      </c>
      <c r="O144" s="3">
        <v>2</v>
      </c>
      <c r="P144" s="3">
        <v>0.02</v>
      </c>
      <c r="Q144" s="17">
        <v>8.8055555555555554E-2</v>
      </c>
      <c r="R144" s="21">
        <v>0.32871491895316651</v>
      </c>
      <c r="S144" s="3">
        <v>8</v>
      </c>
      <c r="T144" s="3">
        <v>315.88</v>
      </c>
      <c r="U144" s="3">
        <v>414.48</v>
      </c>
      <c r="V144" s="26">
        <v>-0.37092535156485201</v>
      </c>
      <c r="W144" s="18">
        <v>-0.78046161747151499</v>
      </c>
      <c r="X144" s="18">
        <v>-0.78109252091812698</v>
      </c>
      <c r="Y144" s="18">
        <v>0.21152325058302501</v>
      </c>
      <c r="Z144" s="18">
        <v>0.46674926234335601</v>
      </c>
      <c r="AA144" s="18">
        <v>0.56786022709117501</v>
      </c>
      <c r="AB144" s="18">
        <v>0.336848024160319</v>
      </c>
      <c r="AC144" s="18">
        <v>-0.28002007613463398</v>
      </c>
      <c r="AD144" s="18">
        <v>-0.76683310032803498</v>
      </c>
      <c r="AE144" s="21">
        <v>0.94637215423235399</v>
      </c>
      <c r="AF144" s="3">
        <v>1.15642</v>
      </c>
      <c r="AG144" s="3">
        <v>0.12832299999999999</v>
      </c>
      <c r="AH144" s="3">
        <v>2.29027</v>
      </c>
      <c r="AI144" s="3">
        <v>6.1594600000000002</v>
      </c>
      <c r="AJ144" s="3">
        <v>8.4779099999999996E-2</v>
      </c>
      <c r="AK144" s="3">
        <v>1.3667899999999999</v>
      </c>
      <c r="AL144" s="3">
        <v>2.9214899999999999</v>
      </c>
      <c r="AM144" s="3">
        <v>0.10895000000000001</v>
      </c>
      <c r="AN144" s="3">
        <v>3.9761799999999998</v>
      </c>
      <c r="AO144" s="3">
        <v>1.5216099999999999</v>
      </c>
      <c r="AP144" s="3">
        <v>5.2941299999999997E-2</v>
      </c>
      <c r="AQ144" s="3">
        <v>2.2302300000000002</v>
      </c>
      <c r="AR144" s="3">
        <v>0</v>
      </c>
      <c r="AS144" s="3">
        <v>9.8994899999999997E-2</v>
      </c>
      <c r="AT144" s="3">
        <v>3.3818199999999998</v>
      </c>
      <c r="AU144" s="3">
        <v>0</v>
      </c>
      <c r="AV144" s="3">
        <v>5.2440399999999998E-2</v>
      </c>
      <c r="AW144" s="3">
        <v>-0.327376</v>
      </c>
      <c r="AX144" s="3">
        <v>0</v>
      </c>
      <c r="AY144" s="3">
        <v>1.3333299999999999E-2</v>
      </c>
      <c r="AZ144" s="21">
        <v>-0.48785299999999998</v>
      </c>
      <c r="BA144" s="3">
        <v>98.602999999999994</v>
      </c>
      <c r="BB144" s="3">
        <v>5</v>
      </c>
    </row>
    <row r="145" spans="1:54" s="3" customFormat="1" ht="126" customHeight="1" x14ac:dyDescent="0.25">
      <c r="A145" s="2">
        <v>143</v>
      </c>
      <c r="B145" s="3">
        <v>3</v>
      </c>
      <c r="C145" s="2">
        <v>2</v>
      </c>
      <c r="D145" s="9">
        <v>85</v>
      </c>
      <c r="E145" s="3" t="s">
        <v>53</v>
      </c>
      <c r="F145" s="3">
        <f t="shared" si="20"/>
        <v>2</v>
      </c>
      <c r="G145" s="11"/>
      <c r="H145" s="3" t="s">
        <v>84</v>
      </c>
      <c r="I145" s="3">
        <f t="shared" si="17"/>
        <v>3</v>
      </c>
      <c r="J145" s="3" t="s">
        <v>90</v>
      </c>
      <c r="K145" s="3">
        <v>6</v>
      </c>
      <c r="L145" s="6" t="s">
        <v>200</v>
      </c>
      <c r="M145" s="3">
        <v>1</v>
      </c>
      <c r="N145" s="3">
        <f t="shared" si="18"/>
        <v>0.01</v>
      </c>
      <c r="O145" s="3">
        <v>2</v>
      </c>
      <c r="P145" s="3">
        <v>0.02</v>
      </c>
      <c r="Q145" s="17">
        <v>0.1243333333333333</v>
      </c>
      <c r="R145" s="21">
        <v>0.26650932858386439</v>
      </c>
      <c r="S145" s="3">
        <v>10</v>
      </c>
      <c r="T145" s="3">
        <v>424.22</v>
      </c>
      <c r="U145" s="3">
        <v>483.55</v>
      </c>
      <c r="V145" s="26">
        <v>4.8748716061242897E-2</v>
      </c>
      <c r="W145" s="18">
        <v>-0.68425161256421096</v>
      </c>
      <c r="X145" s="18">
        <v>-0.40975177067091401</v>
      </c>
      <c r="Y145" s="18">
        <v>-6.3767749864728898E-2</v>
      </c>
      <c r="Z145" s="18">
        <v>-0.37761175479548698</v>
      </c>
      <c r="AA145" s="18">
        <v>-0.44646494494771299</v>
      </c>
      <c r="AB145" s="18">
        <v>0.168104537623189</v>
      </c>
      <c r="AC145" s="18">
        <v>0.29598869194216798</v>
      </c>
      <c r="AD145" s="18">
        <v>-0.17707766789799301</v>
      </c>
      <c r="AE145" s="21">
        <v>0.24142877818039599</v>
      </c>
      <c r="AF145" s="3">
        <v>2.3676200000000001</v>
      </c>
      <c r="AG145" s="3">
        <v>8.7730600000000006E-2</v>
      </c>
      <c r="AH145" s="3">
        <v>2.2209599999999998</v>
      </c>
      <c r="AI145" s="3">
        <v>7.4671200000000004</v>
      </c>
      <c r="AJ145" s="3">
        <v>0.10172399999999999</v>
      </c>
      <c r="AK145" s="3">
        <v>1.3456999999999999</v>
      </c>
      <c r="AL145" s="3">
        <v>5.6661000000000001</v>
      </c>
      <c r="AM145" s="3">
        <v>0.111568</v>
      </c>
      <c r="AN145" s="3">
        <v>3.4683799999999998</v>
      </c>
      <c r="AO145" s="3">
        <v>4.95784</v>
      </c>
      <c r="AP145" s="3">
        <v>0.32463500000000001</v>
      </c>
      <c r="AQ145" s="3">
        <v>3.2365200000000001</v>
      </c>
      <c r="AR145" s="3">
        <v>0</v>
      </c>
      <c r="AS145" s="3">
        <v>0.17076</v>
      </c>
      <c r="AT145" s="3">
        <v>6.3204500000000001</v>
      </c>
      <c r="AU145" s="3">
        <v>0</v>
      </c>
      <c r="AV145" s="3">
        <v>7.47887E-2</v>
      </c>
      <c r="AW145" s="3">
        <v>-0.41733599999999998</v>
      </c>
      <c r="AX145" s="3">
        <v>2.3473899999999999</v>
      </c>
      <c r="AY145" s="3">
        <v>0.85962799999999995</v>
      </c>
      <c r="AZ145" s="21">
        <v>6.0122999999999998</v>
      </c>
      <c r="BA145" s="3">
        <v>59.326999999999998</v>
      </c>
      <c r="BB145" s="3">
        <v>6</v>
      </c>
    </row>
    <row r="146" spans="1:54" s="3" customFormat="1" ht="63" customHeight="1" x14ac:dyDescent="0.25">
      <c r="A146" s="2">
        <v>144</v>
      </c>
      <c r="B146" s="3">
        <v>3</v>
      </c>
      <c r="C146" s="2">
        <v>2</v>
      </c>
      <c r="D146" s="9">
        <v>85</v>
      </c>
      <c r="E146" s="3" t="s">
        <v>53</v>
      </c>
      <c r="F146" s="3">
        <f t="shared" si="20"/>
        <v>2</v>
      </c>
      <c r="G146" s="11"/>
      <c r="H146" s="3" t="s">
        <v>84</v>
      </c>
      <c r="I146" s="3">
        <f t="shared" si="17"/>
        <v>3</v>
      </c>
      <c r="J146" s="3" t="s">
        <v>91</v>
      </c>
      <c r="K146" s="3">
        <v>7</v>
      </c>
      <c r="L146" s="6" t="s">
        <v>158</v>
      </c>
      <c r="M146" s="3">
        <v>1</v>
      </c>
      <c r="N146" s="3">
        <f t="shared" si="18"/>
        <v>0.01</v>
      </c>
      <c r="O146" s="3">
        <v>2</v>
      </c>
      <c r="P146" s="3">
        <v>0.02</v>
      </c>
      <c r="Q146" s="17">
        <v>5.2916666666666667E-2</v>
      </c>
      <c r="R146" s="21">
        <v>0.16675934922982749</v>
      </c>
      <c r="S146" s="3">
        <v>11</v>
      </c>
      <c r="T146" s="3">
        <v>483.55</v>
      </c>
      <c r="U146" s="3">
        <v>506.74</v>
      </c>
      <c r="V146" s="26">
        <v>3.5085341449124101</v>
      </c>
      <c r="W146" s="18">
        <v>3.0893903364858102</v>
      </c>
      <c r="X146" s="18">
        <v>0.515811936116503</v>
      </c>
      <c r="Y146" s="18">
        <v>-4.08759454914206</v>
      </c>
      <c r="Z146" s="18">
        <v>-3.3147919056812198</v>
      </c>
      <c r="AA146" s="18">
        <v>-4.1500343970915798</v>
      </c>
      <c r="AB146" s="18">
        <v>-1.9273874934945501</v>
      </c>
      <c r="AC146" s="18">
        <v>-3.5030456946969899</v>
      </c>
      <c r="AD146" s="18">
        <v>-1.1971233414746001</v>
      </c>
      <c r="AE146" s="21">
        <v>-1.95858200791509</v>
      </c>
      <c r="AF146" s="3">
        <v>0.88006899999999999</v>
      </c>
      <c r="AG146" s="3">
        <v>6.5551999999999999E-2</v>
      </c>
      <c r="AH146" s="3">
        <v>1.92123</v>
      </c>
      <c r="AI146" s="3">
        <v>3.7791199999999998</v>
      </c>
      <c r="AJ146" s="3">
        <v>0.18204100000000001</v>
      </c>
      <c r="AK146" s="3">
        <v>1.5138</v>
      </c>
      <c r="AL146" s="3">
        <v>0</v>
      </c>
      <c r="AM146" s="3">
        <v>0.15831300000000001</v>
      </c>
      <c r="AN146" s="3">
        <v>-2.6936100000000001E-2</v>
      </c>
      <c r="AO146" s="3">
        <v>1.8119099999999999</v>
      </c>
      <c r="AP146" s="3">
        <v>7.4139499999999997E-2</v>
      </c>
      <c r="AQ146" s="3">
        <v>2.1783399999999999</v>
      </c>
      <c r="AR146" s="3">
        <v>0</v>
      </c>
      <c r="AS146" s="3">
        <v>0</v>
      </c>
      <c r="AT146" s="3">
        <v>-0.27880100000000002</v>
      </c>
      <c r="AU146" s="3">
        <v>0</v>
      </c>
      <c r="AV146" s="3">
        <v>0.11039300000000001</v>
      </c>
      <c r="AW146" s="3">
        <v>0.34373799999999999</v>
      </c>
      <c r="AX146" s="3">
        <v>0</v>
      </c>
      <c r="AY146" s="3">
        <v>0.110045</v>
      </c>
      <c r="AZ146" s="21">
        <v>-7.3413400000000004E-2</v>
      </c>
      <c r="BA146" s="3">
        <v>23.192</v>
      </c>
      <c r="BB146" s="3">
        <v>7</v>
      </c>
    </row>
    <row r="147" spans="1:54" s="3" customFormat="1" ht="157.5" customHeight="1" x14ac:dyDescent="0.25">
      <c r="A147" s="2">
        <v>145</v>
      </c>
      <c r="B147" s="3">
        <v>4</v>
      </c>
      <c r="C147" s="2">
        <v>2</v>
      </c>
      <c r="D147" s="9">
        <v>81</v>
      </c>
      <c r="E147" s="3" t="s">
        <v>16</v>
      </c>
      <c r="F147" s="3">
        <f t="shared" si="20"/>
        <v>2</v>
      </c>
      <c r="G147" s="11" t="s">
        <v>17</v>
      </c>
      <c r="H147" s="3" t="s">
        <v>17</v>
      </c>
      <c r="I147" s="3">
        <f t="shared" si="17"/>
        <v>1</v>
      </c>
      <c r="J147" s="3" t="s">
        <v>18</v>
      </c>
      <c r="K147" s="3">
        <v>1</v>
      </c>
      <c r="L147" s="6" t="s">
        <v>206</v>
      </c>
      <c r="M147" s="3">
        <v>47</v>
      </c>
      <c r="N147" s="3">
        <f t="shared" si="18"/>
        <v>0.47</v>
      </c>
      <c r="O147" s="3">
        <v>15</v>
      </c>
      <c r="P147" s="3">
        <v>0.15</v>
      </c>
      <c r="Q147" s="17">
        <v>3.5763888888888887E-2</v>
      </c>
      <c r="R147" s="21">
        <v>0.23239207471187329</v>
      </c>
      <c r="S147" s="3">
        <v>2</v>
      </c>
      <c r="T147" s="3">
        <v>26.2</v>
      </c>
      <c r="U147" s="3">
        <v>101.9</v>
      </c>
      <c r="V147" s="26">
        <v>0.14143271036192001</v>
      </c>
      <c r="W147" s="18">
        <v>1.1712199571181099</v>
      </c>
      <c r="X147" s="18">
        <v>2.0391237255150401</v>
      </c>
      <c r="Y147" s="18">
        <v>1.49576373126336</v>
      </c>
      <c r="Z147" s="18">
        <v>-0.166299457701163</v>
      </c>
      <c r="AA147" s="18">
        <v>0.127176813988822</v>
      </c>
      <c r="AB147" s="18">
        <v>-3.0451172848808401</v>
      </c>
      <c r="AC147" s="18">
        <v>0.55665921506090599</v>
      </c>
      <c r="AD147" s="18">
        <v>1.6491338609682999</v>
      </c>
      <c r="AE147" s="21">
        <v>8.3256789125776803E-2</v>
      </c>
      <c r="AF147" s="3">
        <v>0.47568700000000003</v>
      </c>
      <c r="AG147" s="3">
        <v>6.8312999999999999E-2</v>
      </c>
      <c r="AH147" s="3">
        <v>3.4053800000000001</v>
      </c>
      <c r="AI147" s="3">
        <v>58.414400000000001</v>
      </c>
      <c r="AJ147" s="3">
        <v>0.52316399999999996</v>
      </c>
      <c r="AK147" s="3">
        <v>0.37958799999999998</v>
      </c>
      <c r="AL147" s="3">
        <v>0.72938700000000001</v>
      </c>
      <c r="AM147" s="3">
        <v>0.47587499999999999</v>
      </c>
      <c r="AN147" s="3">
        <v>7.7858799999999997</v>
      </c>
      <c r="AO147" s="3">
        <v>44.952399999999997</v>
      </c>
      <c r="AP147" s="3">
        <v>0.448465</v>
      </c>
      <c r="AQ147" s="3">
        <v>0.71261600000000003</v>
      </c>
      <c r="AR147" s="3">
        <v>2.5687099999999998</v>
      </c>
      <c r="AS147" s="3">
        <v>5.1051399999999997E-2</v>
      </c>
      <c r="AT147" s="3">
        <v>1.9210400000000001</v>
      </c>
      <c r="AU147" s="3">
        <v>2.9175499999999999</v>
      </c>
      <c r="AV147" s="3">
        <v>0.21138199999999999</v>
      </c>
      <c r="AW147" s="3">
        <v>1.4093599999999999</v>
      </c>
      <c r="AX147" s="3">
        <v>2.9968300000000001</v>
      </c>
      <c r="AY147" s="3">
        <v>0.54500499999999996</v>
      </c>
      <c r="AZ147" s="21">
        <v>3.94611</v>
      </c>
      <c r="BA147" s="3">
        <v>75.698999999999998</v>
      </c>
      <c r="BB147" s="3">
        <v>1</v>
      </c>
    </row>
    <row r="148" spans="1:54" s="3" customFormat="1" ht="63" customHeight="1" x14ac:dyDescent="0.25">
      <c r="A148" s="2">
        <v>146</v>
      </c>
      <c r="B148" s="3">
        <v>4</v>
      </c>
      <c r="C148" s="2">
        <v>2</v>
      </c>
      <c r="D148" s="9">
        <v>81</v>
      </c>
      <c r="E148" s="3" t="s">
        <v>16</v>
      </c>
      <c r="F148" s="3">
        <f t="shared" si="20"/>
        <v>2</v>
      </c>
      <c r="G148" s="11"/>
      <c r="H148" s="3" t="s">
        <v>17</v>
      </c>
      <c r="I148" s="3">
        <f t="shared" si="17"/>
        <v>1</v>
      </c>
      <c r="J148" s="3" t="s">
        <v>19</v>
      </c>
      <c r="K148" s="3">
        <v>2</v>
      </c>
      <c r="L148" s="6" t="s">
        <v>172</v>
      </c>
      <c r="M148" s="3">
        <v>47</v>
      </c>
      <c r="N148" s="3">
        <f t="shared" si="18"/>
        <v>0.47</v>
      </c>
      <c r="O148" s="3">
        <v>15</v>
      </c>
      <c r="P148" s="3">
        <v>0.15</v>
      </c>
      <c r="Q148" s="17">
        <v>-0.02</v>
      </c>
      <c r="R148" s="21">
        <v>0.1998784352772677</v>
      </c>
      <c r="S148" s="3">
        <v>3</v>
      </c>
      <c r="T148" s="3">
        <v>101.9</v>
      </c>
      <c r="U148" s="3">
        <v>130.69</v>
      </c>
      <c r="V148" s="26">
        <v>-0.89886874667397199</v>
      </c>
      <c r="W148" s="18">
        <v>4.2402214515861202E-2</v>
      </c>
      <c r="X148" s="18">
        <v>1.46055331634675E-2</v>
      </c>
      <c r="Y148" s="18">
        <v>3.10443292986004E-2</v>
      </c>
      <c r="Z148" s="18">
        <v>0.19644064780938</v>
      </c>
      <c r="AA148" s="18">
        <v>-0.13735496625448701</v>
      </c>
      <c r="AB148" s="18">
        <v>0.46575301826564902</v>
      </c>
      <c r="AC148" s="18">
        <v>1.37285712089194</v>
      </c>
      <c r="AD148" s="18">
        <v>-0.56036697078952802</v>
      </c>
      <c r="AE148" s="21">
        <v>1.72651813374768</v>
      </c>
      <c r="AF148" s="3">
        <v>4.2112600000000002</v>
      </c>
      <c r="AG148" s="3">
        <v>0.104999</v>
      </c>
      <c r="AH148" s="3">
        <v>3.4059599999999999</v>
      </c>
      <c r="AI148" s="3">
        <v>59.916600000000003</v>
      </c>
      <c r="AJ148" s="3">
        <v>0.46972799999999998</v>
      </c>
      <c r="AK148" s="3">
        <v>0.61869600000000002</v>
      </c>
      <c r="AL148" s="3">
        <v>0</v>
      </c>
      <c r="AM148" s="3">
        <v>6.1944899999999997E-2</v>
      </c>
      <c r="AN148" s="3">
        <v>-0.36865100000000001</v>
      </c>
      <c r="AO148" s="3">
        <v>38.526800000000001</v>
      </c>
      <c r="AP148" s="3">
        <v>0.34594999999999998</v>
      </c>
      <c r="AQ148" s="3">
        <v>-0.19747700000000001</v>
      </c>
      <c r="AR148" s="3">
        <v>0.91730400000000001</v>
      </c>
      <c r="AS148" s="3">
        <v>6.9436499999999998E-2</v>
      </c>
      <c r="AT148" s="3">
        <v>1.8474200000000001</v>
      </c>
      <c r="AU148" s="3">
        <v>0</v>
      </c>
      <c r="AV148" s="3">
        <v>8.5929800000000001E-2</v>
      </c>
      <c r="AW148" s="3">
        <v>-0.93472999999999995</v>
      </c>
      <c r="AX148" s="3">
        <v>0</v>
      </c>
      <c r="AY148" s="3">
        <v>2.1213200000000001E-2</v>
      </c>
      <c r="AZ148" s="21">
        <v>-0.48065200000000002</v>
      </c>
      <c r="BA148" s="3">
        <v>28.795999999999999</v>
      </c>
      <c r="BB148" s="3">
        <v>2</v>
      </c>
    </row>
    <row r="149" spans="1:54" s="3" customFormat="1" ht="78.75" customHeight="1" x14ac:dyDescent="0.25">
      <c r="A149" s="2">
        <v>147</v>
      </c>
      <c r="B149" s="3">
        <v>4</v>
      </c>
      <c r="C149" s="2">
        <v>2</v>
      </c>
      <c r="D149" s="9">
        <v>81</v>
      </c>
      <c r="E149" s="3" t="s">
        <v>16</v>
      </c>
      <c r="F149" s="3">
        <f t="shared" si="20"/>
        <v>2</v>
      </c>
      <c r="G149" s="11"/>
      <c r="H149" s="3" t="s">
        <v>17</v>
      </c>
      <c r="I149" s="3">
        <f t="shared" si="17"/>
        <v>1</v>
      </c>
      <c r="J149" s="3" t="s">
        <v>20</v>
      </c>
      <c r="K149" s="3">
        <v>3</v>
      </c>
      <c r="L149" s="6" t="s">
        <v>156</v>
      </c>
      <c r="M149" s="3">
        <v>47</v>
      </c>
      <c r="N149" s="3">
        <f t="shared" si="18"/>
        <v>0.47</v>
      </c>
      <c r="O149" s="3">
        <v>15</v>
      </c>
      <c r="P149" s="3">
        <v>0.15</v>
      </c>
      <c r="Q149" s="17">
        <v>7.375000000000001E-2</v>
      </c>
      <c r="R149" s="21">
        <v>0.1098507510215565</v>
      </c>
      <c r="S149" s="3">
        <v>5</v>
      </c>
      <c r="T149" s="3">
        <v>141.11000000000001</v>
      </c>
      <c r="U149" s="3">
        <v>175.42</v>
      </c>
      <c r="V149" s="26">
        <v>-0.64683343359078205</v>
      </c>
      <c r="W149" s="18">
        <v>-0.64477744244341695</v>
      </c>
      <c r="X149" s="18">
        <v>-0.51563103544008304</v>
      </c>
      <c r="Y149" s="18">
        <v>0.25821132445337702</v>
      </c>
      <c r="Z149" s="18">
        <v>0.73318981258346605</v>
      </c>
      <c r="AA149" s="18">
        <v>0.94538605247145102</v>
      </c>
      <c r="AB149" s="18">
        <v>1.6912410786072999E-3</v>
      </c>
      <c r="AC149" s="18">
        <v>-1.7211122893642301</v>
      </c>
      <c r="AD149" s="18">
        <v>-1.1537875296101101</v>
      </c>
      <c r="AE149" s="21">
        <v>-0.973412486266793</v>
      </c>
      <c r="AF149" s="3">
        <v>0</v>
      </c>
      <c r="AG149" s="3">
        <v>0.30946299999999999</v>
      </c>
      <c r="AH149" s="3">
        <v>-0.301485</v>
      </c>
      <c r="AI149" s="3">
        <v>58.005800000000001</v>
      </c>
      <c r="AJ149" s="3">
        <v>0.20840800000000001</v>
      </c>
      <c r="AK149" s="3">
        <v>-0.58470299999999997</v>
      </c>
      <c r="AL149" s="3">
        <v>0</v>
      </c>
      <c r="AM149" s="3">
        <v>0</v>
      </c>
      <c r="AN149" s="3">
        <v>-0.40804299999999999</v>
      </c>
      <c r="AO149" s="3">
        <v>44.956299999999999</v>
      </c>
      <c r="AP149" s="3">
        <v>0.44178299999999998</v>
      </c>
      <c r="AQ149" s="3">
        <v>0.130741</v>
      </c>
      <c r="AR149" s="3">
        <v>2.2740499999999999</v>
      </c>
      <c r="AS149" s="3">
        <v>7.73287E-2</v>
      </c>
      <c r="AT149" s="3">
        <v>1.9112100000000001</v>
      </c>
      <c r="AU149" s="3">
        <v>13.189500000000001</v>
      </c>
      <c r="AV149" s="3">
        <v>0.31855499999999998</v>
      </c>
      <c r="AW149" s="3">
        <v>1.4417599999999999</v>
      </c>
      <c r="AX149" s="3">
        <v>1.7492700000000001</v>
      </c>
      <c r="AY149" s="3">
        <v>1.0944799999999999</v>
      </c>
      <c r="AZ149" s="21">
        <v>5.6821799999999998</v>
      </c>
      <c r="BA149" s="3">
        <v>34.31</v>
      </c>
      <c r="BB149" s="3">
        <v>3</v>
      </c>
    </row>
    <row r="150" spans="1:54" s="3" customFormat="1" ht="110.25" customHeight="1" x14ac:dyDescent="0.25">
      <c r="A150" s="2">
        <v>148</v>
      </c>
      <c r="B150" s="3">
        <v>4</v>
      </c>
      <c r="C150" s="2">
        <v>2</v>
      </c>
      <c r="D150" s="9">
        <v>81</v>
      </c>
      <c r="E150" s="3" t="s">
        <v>16</v>
      </c>
      <c r="F150" s="3">
        <f t="shared" si="20"/>
        <v>2</v>
      </c>
      <c r="G150" s="11"/>
      <c r="H150" s="3" t="s">
        <v>17</v>
      </c>
      <c r="I150" s="3">
        <f t="shared" si="17"/>
        <v>1</v>
      </c>
      <c r="J150" s="3" t="s">
        <v>21</v>
      </c>
      <c r="K150" s="3">
        <v>4</v>
      </c>
      <c r="L150" s="6" t="s">
        <v>178</v>
      </c>
      <c r="M150" s="3">
        <v>47</v>
      </c>
      <c r="N150" s="3">
        <f t="shared" si="18"/>
        <v>0.47</v>
      </c>
      <c r="O150" s="3">
        <v>15</v>
      </c>
      <c r="P150" s="3">
        <v>0.15</v>
      </c>
      <c r="Q150" s="17">
        <v>0.1240416666666667</v>
      </c>
      <c r="R150" s="21">
        <v>0.26225415074567138</v>
      </c>
      <c r="S150" s="3">
        <v>6</v>
      </c>
      <c r="T150" s="3">
        <v>175.42</v>
      </c>
      <c r="U150" s="3">
        <v>227.26</v>
      </c>
      <c r="V150" s="26">
        <v>0.48198504626555699</v>
      </c>
      <c r="W150" s="18">
        <v>0.94110307346278299</v>
      </c>
      <c r="X150" s="18">
        <v>0.220963583905878</v>
      </c>
      <c r="Y150" s="18">
        <v>0.27178912186492499</v>
      </c>
      <c r="Z150" s="18">
        <v>0.37298381958646798</v>
      </c>
      <c r="AA150" s="18">
        <v>0.592902414141111</v>
      </c>
      <c r="AB150" s="18">
        <v>-0.75578828896359895</v>
      </c>
      <c r="AC150" s="18">
        <v>-0.32684519866225498</v>
      </c>
      <c r="AD150" s="18">
        <v>-1.22790076505692</v>
      </c>
      <c r="AE150" s="21">
        <v>-0.341285872850706</v>
      </c>
      <c r="AF150" s="3">
        <v>0.18525700000000001</v>
      </c>
      <c r="AG150" s="3">
        <v>9.1094499999999995E-2</v>
      </c>
      <c r="AH150" s="3">
        <v>3.3943500000000002</v>
      </c>
      <c r="AI150" s="3">
        <v>59.675800000000002</v>
      </c>
      <c r="AJ150" s="3">
        <v>0.37912400000000002</v>
      </c>
      <c r="AK150" s="3">
        <v>0.17383999999999999</v>
      </c>
      <c r="AL150" s="3">
        <v>0.74102699999999999</v>
      </c>
      <c r="AM150" s="3">
        <v>0.10312399999999999</v>
      </c>
      <c r="AN150" s="3">
        <v>5.1766699999999997</v>
      </c>
      <c r="AO150" s="3">
        <v>42.840600000000002</v>
      </c>
      <c r="AP150" s="3">
        <v>0.117149</v>
      </c>
      <c r="AQ150" s="3">
        <v>-0.73095299999999996</v>
      </c>
      <c r="AR150" s="3">
        <v>3.65882</v>
      </c>
      <c r="AS150" s="3">
        <v>7.4671399999999999E-2</v>
      </c>
      <c r="AT150" s="3">
        <v>1.8468</v>
      </c>
      <c r="AU150" s="3">
        <v>2.5472800000000002</v>
      </c>
      <c r="AV150" s="3">
        <v>0.12936700000000001</v>
      </c>
      <c r="AW150" s="3">
        <v>1.2007399999999999</v>
      </c>
      <c r="AX150" s="3">
        <v>2.5241199999999999</v>
      </c>
      <c r="AY150" s="3">
        <v>0.25129699999999999</v>
      </c>
      <c r="AZ150" s="21">
        <v>3.1405099999999999</v>
      </c>
      <c r="BA150" s="3">
        <v>51.841999999999999</v>
      </c>
      <c r="BB150" s="3">
        <v>4</v>
      </c>
    </row>
    <row r="151" spans="1:54" s="3" customFormat="1" ht="78.75" customHeight="1" x14ac:dyDescent="0.25">
      <c r="A151" s="2">
        <v>149</v>
      </c>
      <c r="B151" s="3">
        <v>4</v>
      </c>
      <c r="C151" s="2">
        <v>2</v>
      </c>
      <c r="D151" s="9">
        <v>81</v>
      </c>
      <c r="E151" s="3" t="s">
        <v>16</v>
      </c>
      <c r="F151" s="3">
        <f>IF(E252="Happy", 1,2)</f>
        <v>1</v>
      </c>
      <c r="G151" s="11"/>
      <c r="H151" s="3" t="s">
        <v>17</v>
      </c>
      <c r="I151" s="3">
        <f t="shared" si="17"/>
        <v>1</v>
      </c>
      <c r="J151" s="3" t="s">
        <v>22</v>
      </c>
      <c r="K151" s="3">
        <v>5</v>
      </c>
      <c r="L151" s="6" t="s">
        <v>162</v>
      </c>
      <c r="M151" s="3">
        <v>47</v>
      </c>
      <c r="N151" s="3">
        <f t="shared" si="18"/>
        <v>0.47</v>
      </c>
      <c r="O151" s="3">
        <v>15</v>
      </c>
      <c r="P151" s="3">
        <v>0.15</v>
      </c>
      <c r="Q151" s="17">
        <v>5.5208333333333331E-2</v>
      </c>
      <c r="R151" s="21">
        <v>0.23882579512411689</v>
      </c>
      <c r="S151" s="3">
        <v>7</v>
      </c>
      <c r="T151" s="3">
        <v>227.26</v>
      </c>
      <c r="U151" s="3">
        <v>267.41000000000003</v>
      </c>
      <c r="V151" s="26">
        <v>-0.647997976482375</v>
      </c>
      <c r="W151" s="18">
        <v>0.23986440767727901</v>
      </c>
      <c r="X151" s="18">
        <v>7.7600919829105705E-2</v>
      </c>
      <c r="Y151" s="18">
        <v>-1.1691981470172499</v>
      </c>
      <c r="Z151" s="18">
        <v>-0.71342641657834405</v>
      </c>
      <c r="AA151" s="18">
        <v>-0.801434321190444</v>
      </c>
      <c r="AB151" s="18">
        <v>9.7983529367349997E-2</v>
      </c>
      <c r="AC151" s="18">
        <v>0.88978383007127704</v>
      </c>
      <c r="AD151" s="18">
        <v>-0.240753642925187</v>
      </c>
      <c r="AE151" s="21">
        <v>0.41137335753031301</v>
      </c>
      <c r="AF151" s="3">
        <v>0.35892299999999999</v>
      </c>
      <c r="AG151" s="3">
        <v>0.160333</v>
      </c>
      <c r="AH151" s="3">
        <v>3.9190499999999999</v>
      </c>
      <c r="AI151" s="3">
        <v>51.445700000000002</v>
      </c>
      <c r="AJ151" s="3">
        <v>0.444384</v>
      </c>
      <c r="AK151" s="3">
        <v>-1.2184200000000001</v>
      </c>
      <c r="AL151" s="3">
        <v>1.76471</v>
      </c>
      <c r="AM151" s="3">
        <v>0.55596100000000004</v>
      </c>
      <c r="AN151" s="3">
        <v>6.6750400000000001</v>
      </c>
      <c r="AO151" s="3">
        <v>42.323</v>
      </c>
      <c r="AP151" s="3">
        <v>0.636266</v>
      </c>
      <c r="AQ151" s="3">
        <v>0.85290999999999995</v>
      </c>
      <c r="AR151" s="3">
        <v>3.4994999999999998</v>
      </c>
      <c r="AS151" s="3">
        <v>0.32614399999999999</v>
      </c>
      <c r="AT151" s="3">
        <v>3.5178400000000001</v>
      </c>
      <c r="AU151" s="3">
        <v>3.4994999999999998</v>
      </c>
      <c r="AV151" s="3">
        <v>0.30714599999999997</v>
      </c>
      <c r="AW151" s="3">
        <v>2.18066</v>
      </c>
      <c r="AX151" s="3">
        <v>4.54636</v>
      </c>
      <c r="AY151" s="3">
        <v>9.9721799999999999E-2</v>
      </c>
      <c r="AZ151" s="21">
        <v>2.1943800000000002</v>
      </c>
      <c r="BA151" s="3">
        <v>40.146999999999998</v>
      </c>
      <c r="BB151" s="3">
        <v>5</v>
      </c>
    </row>
    <row r="152" spans="1:54" s="3" customFormat="1" ht="63" customHeight="1" x14ac:dyDescent="0.25">
      <c r="A152" s="2">
        <v>150</v>
      </c>
      <c r="B152" s="3">
        <v>4</v>
      </c>
      <c r="C152" s="2">
        <v>2</v>
      </c>
      <c r="D152" s="9">
        <v>81</v>
      </c>
      <c r="E152" s="3" t="s">
        <v>16</v>
      </c>
      <c r="F152" s="3">
        <f>IF(E253="Happy", 1,2)</f>
        <v>1</v>
      </c>
      <c r="G152" s="11"/>
      <c r="H152" s="3" t="s">
        <v>17</v>
      </c>
      <c r="I152" s="3">
        <f t="shared" si="17"/>
        <v>1</v>
      </c>
      <c r="J152" s="3" t="s">
        <v>23</v>
      </c>
      <c r="K152" s="3">
        <v>6</v>
      </c>
      <c r="L152" s="6" t="s">
        <v>168</v>
      </c>
      <c r="M152" s="3">
        <v>47</v>
      </c>
      <c r="N152" s="3">
        <f t="shared" si="18"/>
        <v>0.47</v>
      </c>
      <c r="O152" s="3">
        <v>15</v>
      </c>
      <c r="P152" s="3">
        <v>0.15</v>
      </c>
      <c r="Q152" s="17">
        <v>0.25937500000000002</v>
      </c>
      <c r="R152" s="21">
        <v>8.1249999999999989E-2</v>
      </c>
      <c r="S152" s="3">
        <v>8</v>
      </c>
      <c r="T152" s="3">
        <v>267.41000000000003</v>
      </c>
      <c r="U152" s="3">
        <v>308.60000000000002</v>
      </c>
      <c r="V152" s="26">
        <v>0.75477039632618903</v>
      </c>
      <c r="W152" s="18">
        <v>-1.0715707862319499</v>
      </c>
      <c r="X152" s="18">
        <v>-0.31387903715948601</v>
      </c>
      <c r="Y152" s="18">
        <v>-0.47928356913978098</v>
      </c>
      <c r="Z152" s="18">
        <v>-1.00424599551394</v>
      </c>
      <c r="AA152" s="18">
        <v>-1.4151588706506399</v>
      </c>
      <c r="AB152" s="18">
        <v>-0.23685391205979001</v>
      </c>
      <c r="AC152" s="18">
        <v>1.8077934788530601</v>
      </c>
      <c r="AD152" s="18">
        <v>2.1277818398955799</v>
      </c>
      <c r="AE152" s="21">
        <v>1.3019754717712</v>
      </c>
      <c r="AF152" s="3">
        <v>0.52478100000000005</v>
      </c>
      <c r="AG152" s="3">
        <v>8.1833199999999995E-2</v>
      </c>
      <c r="AH152" s="3">
        <v>3.4415</v>
      </c>
      <c r="AI152" s="3">
        <v>59.941699999999997</v>
      </c>
      <c r="AJ152" s="3">
        <v>0.418155</v>
      </c>
      <c r="AK152" s="3">
        <v>0.71393099999999998</v>
      </c>
      <c r="AL152" s="3">
        <v>0</v>
      </c>
      <c r="AM152" s="3">
        <v>0.153057</v>
      </c>
      <c r="AN152" s="3">
        <v>-0.24540600000000001</v>
      </c>
      <c r="AO152" s="3">
        <v>58.017499999999998</v>
      </c>
      <c r="AP152" s="3">
        <v>0.39807300000000001</v>
      </c>
      <c r="AQ152" s="3">
        <v>-0.36508699999999999</v>
      </c>
      <c r="AR152" s="3">
        <v>2.7696800000000001</v>
      </c>
      <c r="AS152" s="3">
        <v>0.11457000000000001</v>
      </c>
      <c r="AT152" s="3">
        <v>1.94082</v>
      </c>
      <c r="AU152" s="3">
        <v>5.7434399999999997</v>
      </c>
      <c r="AV152" s="3">
        <v>0.10886999999999999</v>
      </c>
      <c r="AW152" s="3">
        <v>1.10379</v>
      </c>
      <c r="AX152" s="3">
        <v>0</v>
      </c>
      <c r="AY152" s="3">
        <v>0</v>
      </c>
      <c r="AZ152" s="21">
        <v>-0.49273600000000001</v>
      </c>
      <c r="BA152" s="3">
        <v>41.188000000000002</v>
      </c>
      <c r="BB152" s="3">
        <v>6</v>
      </c>
    </row>
    <row r="153" spans="1:54" s="3" customFormat="1" ht="47.25" customHeight="1" x14ac:dyDescent="0.25">
      <c r="A153" s="2">
        <v>151</v>
      </c>
      <c r="B153" s="3">
        <v>4</v>
      </c>
      <c r="C153" s="2">
        <v>2</v>
      </c>
      <c r="D153" s="9">
        <v>81</v>
      </c>
      <c r="E153" s="3" t="s">
        <v>16</v>
      </c>
      <c r="F153" s="3">
        <f t="shared" ref="F153:F160" si="21">IF(E253="Happy", 1,2)</f>
        <v>1</v>
      </c>
      <c r="G153" s="11" t="s">
        <v>26</v>
      </c>
      <c r="H153" s="3" t="s">
        <v>26</v>
      </c>
      <c r="I153" s="3">
        <f t="shared" si="17"/>
        <v>2</v>
      </c>
      <c r="J153" s="3" t="s">
        <v>27</v>
      </c>
      <c r="K153" s="3">
        <v>1</v>
      </c>
      <c r="L153" s="6" t="s">
        <v>222</v>
      </c>
      <c r="M153" s="3">
        <v>21</v>
      </c>
      <c r="N153" s="3">
        <f t="shared" si="18"/>
        <v>0.21</v>
      </c>
      <c r="O153" s="3">
        <v>33</v>
      </c>
      <c r="P153" s="3">
        <v>0.33</v>
      </c>
      <c r="Q153" s="17">
        <v>0.15</v>
      </c>
      <c r="R153" s="21">
        <v>0.2121320343559642</v>
      </c>
      <c r="S153" s="3">
        <v>2</v>
      </c>
      <c r="T153" s="3">
        <v>16.46</v>
      </c>
      <c r="U153" s="3">
        <v>46.51</v>
      </c>
      <c r="V153" s="26">
        <v>0.80591617908012203</v>
      </c>
      <c r="W153" s="18">
        <v>0.549125185995743</v>
      </c>
      <c r="X153" s="18">
        <v>1.88184514763354</v>
      </c>
      <c r="Y153" s="18">
        <v>1.0233260110717399</v>
      </c>
      <c r="Z153" s="18">
        <v>0.73753400546382997</v>
      </c>
      <c r="AA153" s="18">
        <v>0.82294768929135098</v>
      </c>
      <c r="AB153" s="18">
        <v>-1.03426779348133</v>
      </c>
      <c r="AC153" s="18">
        <v>0.122574838212352</v>
      </c>
      <c r="AD153" s="18">
        <v>2.8539886122250202</v>
      </c>
      <c r="AE153" s="21">
        <v>0.64038532976368401</v>
      </c>
      <c r="AF153" s="3">
        <v>0</v>
      </c>
      <c r="AG153" s="3">
        <v>0.34456300000000001</v>
      </c>
      <c r="AH153" s="3">
        <v>-0.183979</v>
      </c>
      <c r="AI153" s="3">
        <v>59.320900000000002</v>
      </c>
      <c r="AJ153" s="3">
        <v>0.54988599999999999</v>
      </c>
      <c r="AK153" s="3">
        <v>0.206812</v>
      </c>
      <c r="AL153" s="3">
        <v>0.35952099999999998</v>
      </c>
      <c r="AM153" s="3">
        <v>0.18592900000000001</v>
      </c>
      <c r="AN153" s="3">
        <v>4.2974500000000004</v>
      </c>
      <c r="AO153" s="3">
        <v>59.760300000000001</v>
      </c>
      <c r="AP153" s="3">
        <v>0.64167600000000002</v>
      </c>
      <c r="AQ153" s="3">
        <v>0.78978899999999996</v>
      </c>
      <c r="AR153" s="3">
        <v>11.0253</v>
      </c>
      <c r="AS153" s="3">
        <v>2.9277000000000001E-2</v>
      </c>
      <c r="AT153" s="3">
        <v>1.66347</v>
      </c>
      <c r="AU153" s="3">
        <v>14.8202</v>
      </c>
      <c r="AV153" s="3">
        <v>6.4083299999999996E-2</v>
      </c>
      <c r="AW153" s="3">
        <v>1.3264899999999999</v>
      </c>
      <c r="AX153" s="3">
        <v>0</v>
      </c>
      <c r="AY153" s="3">
        <v>0</v>
      </c>
      <c r="AZ153" s="21">
        <v>-0.44149100000000002</v>
      </c>
      <c r="BA153" s="3">
        <v>30.052</v>
      </c>
      <c r="BB153" s="3">
        <v>1</v>
      </c>
    </row>
    <row r="154" spans="1:54" s="3" customFormat="1" ht="63" customHeight="1" x14ac:dyDescent="0.25">
      <c r="A154" s="2">
        <v>152</v>
      </c>
      <c r="B154" s="3">
        <v>4</v>
      </c>
      <c r="C154" s="2">
        <v>2</v>
      </c>
      <c r="D154" s="9">
        <v>81</v>
      </c>
      <c r="E154" s="3" t="s">
        <v>16</v>
      </c>
      <c r="F154" s="3">
        <f t="shared" si="21"/>
        <v>1</v>
      </c>
      <c r="G154" s="11"/>
      <c r="H154" s="3" t="s">
        <v>26</v>
      </c>
      <c r="I154" s="3">
        <f t="shared" si="17"/>
        <v>2</v>
      </c>
      <c r="J154" s="3" t="s">
        <v>28</v>
      </c>
      <c r="K154" s="3">
        <v>2</v>
      </c>
      <c r="L154" s="6" t="s">
        <v>160</v>
      </c>
      <c r="M154" s="3">
        <v>21</v>
      </c>
      <c r="N154" s="3">
        <f t="shared" si="18"/>
        <v>0.21</v>
      </c>
      <c r="O154" s="3">
        <v>33</v>
      </c>
      <c r="P154" s="3">
        <v>0.33</v>
      </c>
      <c r="Q154" s="17">
        <v>0.18124999999999999</v>
      </c>
      <c r="R154" s="21">
        <v>0.26983791431153631</v>
      </c>
      <c r="S154" s="3">
        <v>3</v>
      </c>
      <c r="T154" s="3">
        <v>46.51</v>
      </c>
      <c r="U154" s="3">
        <v>74.489999999999995</v>
      </c>
      <c r="V154" s="26">
        <v>0.283989228576011</v>
      </c>
      <c r="W154" s="18">
        <v>-0.92867026870817404</v>
      </c>
      <c r="X154" s="18">
        <v>-0.57458965702682896</v>
      </c>
      <c r="Y154" s="18">
        <v>-0.56545036040538899</v>
      </c>
      <c r="Z154" s="18">
        <v>-1.3041159762836401</v>
      </c>
      <c r="AA154" s="18">
        <v>-0.534964083798112</v>
      </c>
      <c r="AB154" s="18">
        <v>-0.71687245451636294</v>
      </c>
      <c r="AC154" s="18">
        <v>0.24696408064589201</v>
      </c>
      <c r="AD154" s="18">
        <v>0.12826850857035599</v>
      </c>
      <c r="AE154" s="21">
        <v>1.38233054974782</v>
      </c>
      <c r="AF154" s="3">
        <v>0</v>
      </c>
      <c r="AG154" s="3">
        <v>0.34913499999999997</v>
      </c>
      <c r="AH154" s="3">
        <v>-0.138296</v>
      </c>
      <c r="AI154" s="3">
        <v>59.484999999999999</v>
      </c>
      <c r="AJ154" s="3">
        <v>0.52747200000000005</v>
      </c>
      <c r="AK154" s="3">
        <v>4.9927899999999997E-2</v>
      </c>
      <c r="AL154" s="3">
        <v>0</v>
      </c>
      <c r="AM154" s="3">
        <v>0.144399</v>
      </c>
      <c r="AN154" s="3">
        <v>-0.31741200000000003</v>
      </c>
      <c r="AO154" s="3">
        <v>49.957099999999997</v>
      </c>
      <c r="AP154" s="3">
        <v>0.44664599999999999</v>
      </c>
      <c r="AQ154" s="3">
        <v>0.60908700000000005</v>
      </c>
      <c r="AR154" s="3">
        <v>0</v>
      </c>
      <c r="AS154" s="3">
        <v>0.23153799999999999</v>
      </c>
      <c r="AT154" s="3">
        <v>-0.61839699999999997</v>
      </c>
      <c r="AU154" s="3">
        <v>0.772532</v>
      </c>
      <c r="AV154" s="3">
        <v>0.12733700000000001</v>
      </c>
      <c r="AW154" s="3">
        <v>1.40503</v>
      </c>
      <c r="AX154" s="3">
        <v>0.47210299999999999</v>
      </c>
      <c r="AY154" s="3">
        <v>0.22209300000000001</v>
      </c>
      <c r="AZ154" s="21">
        <v>2.5604</v>
      </c>
      <c r="BA154" s="3">
        <v>27.981999999999999</v>
      </c>
      <c r="BB154" s="3">
        <v>2</v>
      </c>
    </row>
    <row r="155" spans="1:54" s="3" customFormat="1" ht="94.5" customHeight="1" x14ac:dyDescent="0.25">
      <c r="A155" s="2">
        <v>153</v>
      </c>
      <c r="B155" s="3">
        <v>4</v>
      </c>
      <c r="C155" s="2">
        <v>2</v>
      </c>
      <c r="D155" s="9">
        <v>81</v>
      </c>
      <c r="E155" s="3" t="s">
        <v>16</v>
      </c>
      <c r="F155" s="3">
        <f t="shared" si="21"/>
        <v>1</v>
      </c>
      <c r="G155" s="11"/>
      <c r="H155" s="3" t="s">
        <v>26</v>
      </c>
      <c r="I155" s="3">
        <f t="shared" si="17"/>
        <v>2</v>
      </c>
      <c r="J155" s="3" t="s">
        <v>29</v>
      </c>
      <c r="K155" s="3">
        <v>3</v>
      </c>
      <c r="L155" s="6" t="s">
        <v>162</v>
      </c>
      <c r="M155" s="3">
        <v>21</v>
      </c>
      <c r="N155" s="3">
        <f t="shared" si="18"/>
        <v>0.21</v>
      </c>
      <c r="O155" s="3">
        <v>33</v>
      </c>
      <c r="P155" s="3">
        <v>0.33</v>
      </c>
      <c r="Q155" s="17">
        <v>0.15156249999999999</v>
      </c>
      <c r="R155" s="21">
        <v>0.21104411987950361</v>
      </c>
      <c r="S155" s="3">
        <v>4</v>
      </c>
      <c r="T155" s="3">
        <v>74.489999999999995</v>
      </c>
      <c r="U155" s="3">
        <v>114.55</v>
      </c>
      <c r="V155" s="26">
        <v>2.04954211976405</v>
      </c>
      <c r="W155" s="18">
        <v>1.4278459765109801</v>
      </c>
      <c r="X155" s="18">
        <v>3.3452472436413099</v>
      </c>
      <c r="Y155" s="18">
        <v>1.23999052190391</v>
      </c>
      <c r="Z155" s="18">
        <v>1.0002370027015099</v>
      </c>
      <c r="AA155" s="18">
        <v>1.43951230387686</v>
      </c>
      <c r="AB155" s="18">
        <v>0.256405350514056</v>
      </c>
      <c r="AC155" s="18">
        <v>1.6929180255098701E-2</v>
      </c>
      <c r="AD155" s="18">
        <v>-0.21553455586342801</v>
      </c>
      <c r="AE155" s="21">
        <v>0.41806961402836501</v>
      </c>
      <c r="AF155" s="3">
        <v>0</v>
      </c>
      <c r="AG155" s="3">
        <v>0.31414399999999998</v>
      </c>
      <c r="AH155" s="3">
        <v>-9.7162200000000004E-2</v>
      </c>
      <c r="AI155" s="3">
        <v>59.340699999999998</v>
      </c>
      <c r="AJ155" s="3">
        <v>0.615178</v>
      </c>
      <c r="AK155" s="3">
        <v>0.16214999999999999</v>
      </c>
      <c r="AL155" s="3">
        <v>0.65934099999999995</v>
      </c>
      <c r="AM155" s="3">
        <v>0.13159100000000001</v>
      </c>
      <c r="AN155" s="3">
        <v>4.3446199999999999</v>
      </c>
      <c r="AO155" s="3">
        <v>58.471499999999999</v>
      </c>
      <c r="AP155" s="3">
        <v>0.40336300000000003</v>
      </c>
      <c r="AQ155" s="3">
        <v>0.875664</v>
      </c>
      <c r="AR155" s="3">
        <v>7.2527499999999998</v>
      </c>
      <c r="AS155" s="3">
        <v>3.6893200000000001E-2</v>
      </c>
      <c r="AT155" s="3">
        <v>1.6698999999999999</v>
      </c>
      <c r="AU155" s="3">
        <v>9.2007999999999992</v>
      </c>
      <c r="AV155" s="3">
        <v>0.32939099999999999</v>
      </c>
      <c r="AW155" s="3">
        <v>2.0877500000000002</v>
      </c>
      <c r="AX155" s="3">
        <v>0.17982000000000001</v>
      </c>
      <c r="AY155" s="3">
        <v>0.134573</v>
      </c>
      <c r="AZ155" s="21">
        <v>2.0841599999999998</v>
      </c>
      <c r="BA155" s="3">
        <v>40.058999999999997</v>
      </c>
      <c r="BB155" s="3">
        <v>3</v>
      </c>
    </row>
    <row r="156" spans="1:54" s="3" customFormat="1" ht="63" customHeight="1" x14ac:dyDescent="0.25">
      <c r="A156" s="2">
        <v>154</v>
      </c>
      <c r="B156" s="3">
        <v>4</v>
      </c>
      <c r="C156" s="2">
        <v>2</v>
      </c>
      <c r="D156" s="9">
        <v>81</v>
      </c>
      <c r="E156" s="3" t="s">
        <v>16</v>
      </c>
      <c r="F156" s="3">
        <f t="shared" si="21"/>
        <v>1</v>
      </c>
      <c r="G156" s="11"/>
      <c r="H156" s="3" t="s">
        <v>26</v>
      </c>
      <c r="I156" s="3">
        <f t="shared" si="17"/>
        <v>2</v>
      </c>
      <c r="J156" s="3" t="s">
        <v>30</v>
      </c>
      <c r="K156" s="3">
        <v>4</v>
      </c>
      <c r="L156" s="6" t="s">
        <v>158</v>
      </c>
      <c r="M156" s="3">
        <v>21</v>
      </c>
      <c r="N156" s="3">
        <f t="shared" si="18"/>
        <v>0.21</v>
      </c>
      <c r="O156" s="3">
        <v>33</v>
      </c>
      <c r="P156" s="3">
        <v>0.33</v>
      </c>
      <c r="Q156" s="17">
        <v>0.15</v>
      </c>
      <c r="R156" s="21">
        <v>0.16431676725154981</v>
      </c>
      <c r="S156" s="3">
        <v>6</v>
      </c>
      <c r="T156" s="3">
        <v>123.84</v>
      </c>
      <c r="U156" s="3">
        <v>146.35</v>
      </c>
      <c r="V156" s="26">
        <v>3.3820850272918102</v>
      </c>
      <c r="W156" s="18">
        <v>1.3133815114367899</v>
      </c>
      <c r="X156" s="18">
        <v>2.33177194260201</v>
      </c>
      <c r="Y156" s="18">
        <v>1.00928401545808</v>
      </c>
      <c r="Z156" s="18">
        <v>0.36043392904318799</v>
      </c>
      <c r="AA156" s="18">
        <v>0.41704377836586198</v>
      </c>
      <c r="AB156" s="18">
        <v>-0.42553417373090002</v>
      </c>
      <c r="AC156" s="18">
        <v>0.70788586254003905</v>
      </c>
      <c r="AD156" s="18">
        <v>-0.51610489961990902</v>
      </c>
      <c r="AE156" s="21">
        <v>1.2403699119891201</v>
      </c>
      <c r="AF156" s="3">
        <v>0</v>
      </c>
      <c r="AG156" s="3">
        <v>0.41981200000000002</v>
      </c>
      <c r="AH156" s="3">
        <v>-5.7260499999999999E-2</v>
      </c>
      <c r="AI156" s="3">
        <v>60</v>
      </c>
      <c r="AJ156" s="3">
        <v>0.67562900000000004</v>
      </c>
      <c r="AK156" s="3">
        <v>0.38822400000000001</v>
      </c>
      <c r="AL156" s="3">
        <v>0</v>
      </c>
      <c r="AM156" s="3">
        <v>0.15265400000000001</v>
      </c>
      <c r="AN156" s="3">
        <v>-0.29076400000000002</v>
      </c>
      <c r="AO156" s="3">
        <v>55.515999999999998</v>
      </c>
      <c r="AP156" s="3">
        <v>0.27118900000000001</v>
      </c>
      <c r="AQ156" s="3">
        <v>-0.87562600000000002</v>
      </c>
      <c r="AR156" s="3">
        <v>3.4163700000000001</v>
      </c>
      <c r="AS156" s="3">
        <v>0.19894000000000001</v>
      </c>
      <c r="AT156" s="3">
        <v>1.9537</v>
      </c>
      <c r="AU156" s="3">
        <v>0</v>
      </c>
      <c r="AV156" s="3">
        <v>9.1777999999999998E-2</v>
      </c>
      <c r="AW156" s="3">
        <v>-0.94450500000000004</v>
      </c>
      <c r="AX156" s="3">
        <v>1.2811399999999999</v>
      </c>
      <c r="AY156" s="3">
        <v>0.29843199999999998</v>
      </c>
      <c r="AZ156" s="21">
        <v>1.9688099999999999</v>
      </c>
      <c r="BA156" s="3">
        <v>22.507000000000001</v>
      </c>
      <c r="BB156" s="3">
        <v>4</v>
      </c>
    </row>
    <row r="157" spans="1:54" s="3" customFormat="1" ht="94.5" customHeight="1" x14ac:dyDescent="0.25">
      <c r="A157" s="2">
        <v>155</v>
      </c>
      <c r="B157" s="3">
        <v>4</v>
      </c>
      <c r="C157" s="2">
        <v>2</v>
      </c>
      <c r="D157" s="9">
        <v>81</v>
      </c>
      <c r="E157" s="3" t="s">
        <v>16</v>
      </c>
      <c r="F157" s="3">
        <f t="shared" si="21"/>
        <v>1</v>
      </c>
      <c r="G157" s="11"/>
      <c r="H157" s="3" t="s">
        <v>26</v>
      </c>
      <c r="I157" s="3">
        <f t="shared" si="17"/>
        <v>2</v>
      </c>
      <c r="J157" s="3" t="s">
        <v>31</v>
      </c>
      <c r="K157" s="3">
        <v>5</v>
      </c>
      <c r="L157" s="6" t="s">
        <v>167</v>
      </c>
      <c r="M157" s="3">
        <v>21</v>
      </c>
      <c r="N157" s="3">
        <f t="shared" si="18"/>
        <v>0.21</v>
      </c>
      <c r="O157" s="3">
        <v>33</v>
      </c>
      <c r="P157" s="3">
        <v>0.33</v>
      </c>
      <c r="Q157" s="17">
        <v>3.5079365079365078E-2</v>
      </c>
      <c r="R157" s="21">
        <v>0.14718463131947249</v>
      </c>
      <c r="S157" s="3">
        <v>7</v>
      </c>
      <c r="T157" s="3">
        <v>146.35</v>
      </c>
      <c r="U157" s="3">
        <v>193.8</v>
      </c>
      <c r="V157" s="26">
        <v>1.6790175082263199</v>
      </c>
      <c r="W157" s="18">
        <v>1.03146237170718</v>
      </c>
      <c r="X157" s="18">
        <v>0.65398426871488002</v>
      </c>
      <c r="Y157" s="18">
        <v>1.05715445505009</v>
      </c>
      <c r="Z157" s="18">
        <v>4.3307848776486899E-2</v>
      </c>
      <c r="AA157" s="18">
        <v>0.36970935961066997</v>
      </c>
      <c r="AB157" s="18">
        <v>-0.65109323598504898</v>
      </c>
      <c r="AC157" s="18">
        <v>-0.20628987123522699</v>
      </c>
      <c r="AD157" s="18">
        <v>0.32281575161821502</v>
      </c>
      <c r="AE157" s="21">
        <v>1.3086717282692499</v>
      </c>
      <c r="AF157" s="3">
        <v>0.43001699999999998</v>
      </c>
      <c r="AG157" s="3">
        <v>0.14535100000000001</v>
      </c>
      <c r="AH157" s="3">
        <v>4.1281699999999999</v>
      </c>
      <c r="AI157" s="3">
        <v>59.367600000000003</v>
      </c>
      <c r="AJ157" s="3">
        <v>0.65398299999999998</v>
      </c>
      <c r="AK157" s="3">
        <v>0.10749599999999999</v>
      </c>
      <c r="AL157" s="3">
        <v>0</v>
      </c>
      <c r="AM157" s="3">
        <v>5.2619699999999998E-2</v>
      </c>
      <c r="AN157" s="3">
        <v>-0.38408999999999999</v>
      </c>
      <c r="AO157" s="3">
        <v>47.1248</v>
      </c>
      <c r="AP157" s="3">
        <v>0.231595</v>
      </c>
      <c r="AQ157" s="3">
        <v>-0.46471299999999999</v>
      </c>
      <c r="AR157" s="3">
        <v>1.9224300000000001</v>
      </c>
      <c r="AS157" s="3">
        <v>8.7002599999999999E-2</v>
      </c>
      <c r="AT157" s="3">
        <v>1.8661099999999999</v>
      </c>
      <c r="AU157" s="3">
        <v>2.8583500000000002</v>
      </c>
      <c r="AV157" s="3">
        <v>0.36764400000000003</v>
      </c>
      <c r="AW157" s="3">
        <v>1.77502</v>
      </c>
      <c r="AX157" s="3">
        <v>1.08769</v>
      </c>
      <c r="AY157" s="3">
        <v>0.371008</v>
      </c>
      <c r="AZ157" s="21">
        <v>3.0085099999999998</v>
      </c>
      <c r="BA157" s="3">
        <v>47.453000000000003</v>
      </c>
      <c r="BB157" s="3">
        <v>5</v>
      </c>
    </row>
    <row r="158" spans="1:54" s="3" customFormat="1" ht="94.5" customHeight="1" x14ac:dyDescent="0.25">
      <c r="A158" s="2">
        <v>156</v>
      </c>
      <c r="B158" s="3">
        <v>4</v>
      </c>
      <c r="C158" s="2">
        <v>2</v>
      </c>
      <c r="D158" s="9">
        <v>81</v>
      </c>
      <c r="E158" s="3" t="s">
        <v>16</v>
      </c>
      <c r="F158" s="3">
        <f t="shared" si="21"/>
        <v>1</v>
      </c>
      <c r="G158" s="11"/>
      <c r="H158" s="3" t="s">
        <v>26</v>
      </c>
      <c r="I158" s="3">
        <f t="shared" si="17"/>
        <v>2</v>
      </c>
      <c r="J158" s="3" t="s">
        <v>32</v>
      </c>
      <c r="K158" s="3">
        <v>6</v>
      </c>
      <c r="L158" s="6" t="s">
        <v>163</v>
      </c>
      <c r="M158" s="3">
        <v>21</v>
      </c>
      <c r="N158" s="3">
        <f t="shared" si="18"/>
        <v>0.21</v>
      </c>
      <c r="O158" s="3">
        <v>33</v>
      </c>
      <c r="P158" s="3">
        <v>0.33</v>
      </c>
      <c r="Q158" s="17">
        <v>3.966666666666667E-2</v>
      </c>
      <c r="R158" s="21">
        <v>9.9333892615875177E-2</v>
      </c>
      <c r="S158" s="3">
        <v>8</v>
      </c>
      <c r="T158" s="3">
        <v>193.8</v>
      </c>
      <c r="U158" s="3">
        <v>230.15</v>
      </c>
      <c r="V158" s="26">
        <v>-0.43368679525103998</v>
      </c>
      <c r="W158" s="18">
        <v>-0.474797197340183</v>
      </c>
      <c r="X158" s="18">
        <v>-0.537896497527656</v>
      </c>
      <c r="Y158" s="18">
        <v>-0.40750692213940798</v>
      </c>
      <c r="Z158" s="18">
        <v>-1.33899019135102</v>
      </c>
      <c r="AA158" s="18">
        <v>-0.89623839989727405</v>
      </c>
      <c r="AB158" s="18">
        <v>0.32371234444351599</v>
      </c>
      <c r="AC158" s="18">
        <v>1.4371816948901099</v>
      </c>
      <c r="AD158" s="18">
        <v>-0.72300434857556894</v>
      </c>
      <c r="AE158" s="21">
        <v>0.39128458803615801</v>
      </c>
      <c r="AF158" s="3">
        <v>0</v>
      </c>
      <c r="AG158" s="3">
        <v>0.311419</v>
      </c>
      <c r="AH158" s="3">
        <v>-0.30208800000000002</v>
      </c>
      <c r="AI158" s="3">
        <v>60</v>
      </c>
      <c r="AJ158" s="3">
        <v>0.47467500000000001</v>
      </c>
      <c r="AK158" s="3">
        <v>0.193552</v>
      </c>
      <c r="AL158" s="3">
        <v>0</v>
      </c>
      <c r="AM158" s="3">
        <v>6.5585500000000005E-2</v>
      </c>
      <c r="AN158" s="3">
        <v>-0.382691</v>
      </c>
      <c r="AO158" s="3">
        <v>49.427300000000002</v>
      </c>
      <c r="AP158" s="3">
        <v>9.2682299999999995E-2</v>
      </c>
      <c r="AQ158" s="3">
        <v>-1.1255599999999999</v>
      </c>
      <c r="AR158" s="3">
        <v>0</v>
      </c>
      <c r="AS158" s="3">
        <v>7.7114600000000005E-2</v>
      </c>
      <c r="AT158" s="3">
        <v>-0.254415</v>
      </c>
      <c r="AU158" s="3">
        <v>0.23127800000000001</v>
      </c>
      <c r="AV158" s="3">
        <v>4.8941199999999997E-2</v>
      </c>
      <c r="AW158" s="3">
        <v>1.08735</v>
      </c>
      <c r="AX158" s="3">
        <v>0</v>
      </c>
      <c r="AY158" s="3">
        <v>0</v>
      </c>
      <c r="AZ158" s="21">
        <v>-0.44149100000000002</v>
      </c>
      <c r="BA158" s="3">
        <v>36.344000000000001</v>
      </c>
      <c r="BB158" s="3">
        <v>6</v>
      </c>
    </row>
    <row r="159" spans="1:54" s="3" customFormat="1" ht="63" customHeight="1" x14ac:dyDescent="0.25">
      <c r="A159" s="2">
        <v>157</v>
      </c>
      <c r="B159" s="3">
        <v>4</v>
      </c>
      <c r="C159" s="2">
        <v>2</v>
      </c>
      <c r="D159" s="9">
        <v>81</v>
      </c>
      <c r="E159" s="3" t="s">
        <v>16</v>
      </c>
      <c r="F159" s="3">
        <f t="shared" si="21"/>
        <v>1</v>
      </c>
      <c r="G159" s="11"/>
      <c r="H159" s="3" t="s">
        <v>26</v>
      </c>
      <c r="I159" s="3">
        <f t="shared" si="17"/>
        <v>2</v>
      </c>
      <c r="J159" s="3" t="s">
        <v>33</v>
      </c>
      <c r="K159" s="3">
        <v>7</v>
      </c>
      <c r="L159" s="6" t="s">
        <v>216</v>
      </c>
      <c r="M159" s="3">
        <v>21</v>
      </c>
      <c r="N159" s="3">
        <f t="shared" si="18"/>
        <v>0.21</v>
      </c>
      <c r="O159" s="3">
        <v>33</v>
      </c>
      <c r="P159" s="3">
        <v>0.33</v>
      </c>
      <c r="Q159" s="17">
        <v>6.3888888888888898E-2</v>
      </c>
      <c r="R159" s="21">
        <v>0.16479504667133479</v>
      </c>
      <c r="S159" s="3">
        <v>9</v>
      </c>
      <c r="T159" s="3">
        <v>230.15</v>
      </c>
      <c r="U159" s="3">
        <v>265.3</v>
      </c>
      <c r="V159" s="26">
        <v>0.102379352785319</v>
      </c>
      <c r="W159" s="18">
        <v>1.61833011206471</v>
      </c>
      <c r="X159" s="18">
        <v>-0.105531355765655</v>
      </c>
      <c r="Y159" s="18">
        <v>-0.72913825142240696</v>
      </c>
      <c r="Z159" s="18">
        <v>-1.07990735484698</v>
      </c>
      <c r="AA159" s="18">
        <v>-1.29560565299466</v>
      </c>
      <c r="AB159" s="18">
        <v>-0.21779915778846101</v>
      </c>
      <c r="AC159" s="18">
        <v>0.65719298634280898</v>
      </c>
      <c r="AD159" s="18">
        <v>1.079388363471</v>
      </c>
      <c r="AE159" s="21">
        <v>1.2658156866817201</v>
      </c>
      <c r="AF159" s="3">
        <v>0.205011</v>
      </c>
      <c r="AG159" s="3">
        <v>0.64939199999999997</v>
      </c>
      <c r="AH159" s="3">
        <v>7.2061000000000002</v>
      </c>
      <c r="AI159" s="3">
        <v>35.706200000000003</v>
      </c>
      <c r="AJ159" s="3">
        <v>0.43205100000000002</v>
      </c>
      <c r="AK159" s="3">
        <v>0.75149600000000005</v>
      </c>
      <c r="AL159" s="3">
        <v>7.0045599999999997</v>
      </c>
      <c r="AM159" s="3">
        <v>0.256104</v>
      </c>
      <c r="AN159" s="3">
        <v>4.7946600000000004</v>
      </c>
      <c r="AO159" s="3">
        <v>38.644599999999997</v>
      </c>
      <c r="AP159" s="3">
        <v>0.23144600000000001</v>
      </c>
      <c r="AQ159" s="3">
        <v>-0.23627100000000001</v>
      </c>
      <c r="AR159" s="3">
        <v>0</v>
      </c>
      <c r="AS159" s="3">
        <v>0.11916400000000001</v>
      </c>
      <c r="AT159" s="3">
        <v>-0.74329100000000004</v>
      </c>
      <c r="AU159" s="3">
        <v>1.0250600000000001</v>
      </c>
      <c r="AV159" s="3">
        <v>0.105388</v>
      </c>
      <c r="AW159" s="3">
        <v>1.4207399999999999</v>
      </c>
      <c r="AX159" s="3">
        <v>18.826899999999998</v>
      </c>
      <c r="AY159" s="3">
        <v>0.210206</v>
      </c>
      <c r="AZ159" s="21">
        <v>2.3317700000000001</v>
      </c>
      <c r="BA159" s="3">
        <v>35.155000000000001</v>
      </c>
      <c r="BB159" s="3">
        <v>7</v>
      </c>
    </row>
    <row r="160" spans="1:54" s="3" customFormat="1" ht="63" customHeight="1" x14ac:dyDescent="0.25">
      <c r="A160" s="2">
        <v>158</v>
      </c>
      <c r="B160" s="3">
        <v>4</v>
      </c>
      <c r="C160" s="2">
        <v>2</v>
      </c>
      <c r="D160" s="9">
        <v>81</v>
      </c>
      <c r="E160" s="3" t="s">
        <v>16</v>
      </c>
      <c r="F160" s="3">
        <f t="shared" si="21"/>
        <v>1</v>
      </c>
      <c r="G160" s="11"/>
      <c r="H160" s="3" t="s">
        <v>26</v>
      </c>
      <c r="I160" s="3">
        <f t="shared" si="17"/>
        <v>2</v>
      </c>
      <c r="J160" s="3" t="s">
        <v>34</v>
      </c>
      <c r="K160" s="3">
        <v>8</v>
      </c>
      <c r="L160" s="6" t="s">
        <v>153</v>
      </c>
      <c r="M160" s="3">
        <v>21</v>
      </c>
      <c r="N160" s="3">
        <f t="shared" si="18"/>
        <v>0.21</v>
      </c>
      <c r="O160" s="3">
        <v>33</v>
      </c>
      <c r="P160" s="3">
        <v>0.33</v>
      </c>
      <c r="Q160" s="17">
        <v>2.166666666666683E-3</v>
      </c>
      <c r="R160" s="21">
        <v>0.32353601894619949</v>
      </c>
      <c r="S160" s="3">
        <v>10</v>
      </c>
      <c r="T160" s="3">
        <v>265.3</v>
      </c>
      <c r="U160" s="3">
        <v>291.64999999999998</v>
      </c>
      <c r="V160" s="26">
        <v>-0.11691936567868901</v>
      </c>
      <c r="W160" s="18">
        <v>0.56903977667507299</v>
      </c>
      <c r="X160" s="18">
        <v>-0.13426599265914499</v>
      </c>
      <c r="Y160" s="18">
        <v>1.01752353354543</v>
      </c>
      <c r="Z160" s="18">
        <v>0.55797403307537796</v>
      </c>
      <c r="AA160" s="18">
        <v>0.71060733544569199</v>
      </c>
      <c r="AB160" s="18">
        <v>0.245626046316021</v>
      </c>
      <c r="AC160" s="18">
        <v>3.18388497248717E-2</v>
      </c>
      <c r="AD160" s="18">
        <v>-0.17127248469380901</v>
      </c>
      <c r="AE160" s="21">
        <v>0.63234982196602196</v>
      </c>
      <c r="AF160" s="3">
        <v>2.0501100000000001</v>
      </c>
      <c r="AG160" s="3">
        <v>4.4701400000000002E-2</v>
      </c>
      <c r="AH160" s="3">
        <v>3.3610199999999999</v>
      </c>
      <c r="AI160" s="3">
        <v>58.997700000000002</v>
      </c>
      <c r="AJ160" s="3">
        <v>0.39246199999999998</v>
      </c>
      <c r="AK160" s="3">
        <v>0.78185199999999999</v>
      </c>
      <c r="AL160" s="3">
        <v>1.23007</v>
      </c>
      <c r="AM160" s="3">
        <v>0.28889500000000001</v>
      </c>
      <c r="AN160" s="3">
        <v>4.4831399999999997</v>
      </c>
      <c r="AO160" s="3">
        <v>57.357599999999998</v>
      </c>
      <c r="AP160" s="3">
        <v>0.49456</v>
      </c>
      <c r="AQ160" s="3">
        <v>0.44646599999999997</v>
      </c>
      <c r="AR160" s="3">
        <v>8.4738000000000007</v>
      </c>
      <c r="AS160" s="3">
        <v>0.10209500000000001</v>
      </c>
      <c r="AT160" s="3">
        <v>2.07613</v>
      </c>
      <c r="AU160" s="3">
        <v>9.2938500000000008</v>
      </c>
      <c r="AV160" s="3">
        <v>0.46926200000000001</v>
      </c>
      <c r="AW160" s="3">
        <v>2.26356</v>
      </c>
      <c r="AX160" s="3">
        <v>0</v>
      </c>
      <c r="AY160" s="3">
        <v>1.4573300000000001E-2</v>
      </c>
      <c r="AZ160" s="21">
        <v>-0.43029499999999998</v>
      </c>
      <c r="BA160" s="3">
        <v>26.350999999999999</v>
      </c>
      <c r="BB160" s="3">
        <v>8</v>
      </c>
    </row>
    <row r="161" spans="1:54" s="3" customFormat="1" ht="63" customHeight="1" x14ac:dyDescent="0.25">
      <c r="A161" s="2">
        <v>159</v>
      </c>
      <c r="B161" s="3">
        <v>4</v>
      </c>
      <c r="C161" s="2">
        <v>2</v>
      </c>
      <c r="D161" s="9">
        <v>81</v>
      </c>
      <c r="E161" s="3" t="s">
        <v>16</v>
      </c>
      <c r="F161" s="3">
        <f>IF(E262="Happy", 1,2)</f>
        <v>1</v>
      </c>
      <c r="G161" s="11" t="s">
        <v>38</v>
      </c>
      <c r="H161" s="3" t="s">
        <v>38</v>
      </c>
      <c r="I161" s="3">
        <f t="shared" si="17"/>
        <v>3</v>
      </c>
      <c r="J161" s="3" t="s">
        <v>39</v>
      </c>
      <c r="K161" s="3">
        <v>1</v>
      </c>
      <c r="L161" s="6" t="s">
        <v>170</v>
      </c>
      <c r="M161" s="3">
        <v>25</v>
      </c>
      <c r="N161" s="3">
        <f t="shared" si="18"/>
        <v>0.25</v>
      </c>
      <c r="O161" s="3">
        <v>11</v>
      </c>
      <c r="P161" s="3">
        <v>0.11</v>
      </c>
      <c r="Q161" s="17">
        <v>0.14055555555555549</v>
      </c>
      <c r="R161" s="21">
        <v>0.195623409945023</v>
      </c>
      <c r="S161" s="3">
        <v>2</v>
      </c>
      <c r="T161" s="3">
        <v>9.84</v>
      </c>
      <c r="U161" s="3">
        <v>47.73</v>
      </c>
      <c r="V161" s="26">
        <v>2.5495995821272099E-2</v>
      </c>
      <c r="W161" s="18">
        <v>-0.645189016886767</v>
      </c>
      <c r="X161" s="18">
        <v>-0.89810015072123195</v>
      </c>
      <c r="Y161" s="18">
        <v>0.51102527027441302</v>
      </c>
      <c r="Z161" s="18">
        <v>-0.68229303426905497</v>
      </c>
      <c r="AA161" s="18">
        <v>-0.54686530908513198</v>
      </c>
      <c r="AB161" s="18">
        <v>1.44004934022817</v>
      </c>
      <c r="AC161" s="18">
        <v>0.99074359190946004</v>
      </c>
      <c r="AD161" s="18">
        <v>0.273921603233171</v>
      </c>
      <c r="AE161" s="21">
        <v>2.0238319222611798</v>
      </c>
      <c r="AF161" s="3">
        <v>0</v>
      </c>
      <c r="AG161" s="3">
        <v>0.37436700000000001</v>
      </c>
      <c r="AH161" s="3">
        <v>0.17502000000000001</v>
      </c>
      <c r="AI161" s="3">
        <v>60</v>
      </c>
      <c r="AJ161" s="3">
        <v>0.631297</v>
      </c>
      <c r="AK161" s="3">
        <v>-0.110261</v>
      </c>
      <c r="AL161" s="3">
        <v>0.25343199999999999</v>
      </c>
      <c r="AM161" s="3">
        <v>8.7013999999999994E-2</v>
      </c>
      <c r="AN161" s="3">
        <v>4.0421800000000001</v>
      </c>
      <c r="AO161" s="3">
        <v>57.529000000000003</v>
      </c>
      <c r="AP161" s="3">
        <v>0.181667</v>
      </c>
      <c r="AQ161" s="3">
        <v>-0.79156099999999996</v>
      </c>
      <c r="AR161" s="3">
        <v>6.0506900000000003</v>
      </c>
      <c r="AS161" s="3">
        <v>0.15273100000000001</v>
      </c>
      <c r="AT161" s="3">
        <v>2.4257499999999999</v>
      </c>
      <c r="AU161" s="3">
        <v>2.9461499999999998</v>
      </c>
      <c r="AV161" s="3">
        <v>0.117648</v>
      </c>
      <c r="AW161" s="3">
        <v>0.91514499999999999</v>
      </c>
      <c r="AX161" s="3">
        <v>0</v>
      </c>
      <c r="AY161" s="3">
        <v>0</v>
      </c>
      <c r="AZ161" s="21">
        <v>-0.59737799999999996</v>
      </c>
      <c r="BA161" s="3">
        <v>37.890999999999998</v>
      </c>
      <c r="BB161" s="3">
        <v>1</v>
      </c>
    </row>
    <row r="162" spans="1:54" s="3" customFormat="1" ht="94.5" customHeight="1" x14ac:dyDescent="0.25">
      <c r="A162" s="2">
        <v>160</v>
      </c>
      <c r="B162" s="3">
        <v>4</v>
      </c>
      <c r="C162" s="2">
        <v>2</v>
      </c>
      <c r="D162" s="9">
        <v>81</v>
      </c>
      <c r="E162" s="3" t="s">
        <v>16</v>
      </c>
      <c r="F162" s="3">
        <f>IF(E263="Happy", 1,2)</f>
        <v>1</v>
      </c>
      <c r="G162" s="11"/>
      <c r="H162" s="3" t="s">
        <v>38</v>
      </c>
      <c r="I162" s="3">
        <f t="shared" si="17"/>
        <v>3</v>
      </c>
      <c r="J162" s="3" t="s">
        <v>40</v>
      </c>
      <c r="K162" s="3">
        <v>2</v>
      </c>
      <c r="L162" s="6" t="s">
        <v>168</v>
      </c>
      <c r="M162" s="3">
        <v>25</v>
      </c>
      <c r="N162" s="3">
        <f t="shared" si="18"/>
        <v>0.25</v>
      </c>
      <c r="O162" s="3">
        <v>11</v>
      </c>
      <c r="P162" s="3">
        <v>0.11</v>
      </c>
      <c r="Q162" s="17">
        <v>0.31111111111111112</v>
      </c>
      <c r="R162" s="21">
        <v>0.25721082288155639</v>
      </c>
      <c r="S162" s="3">
        <v>3</v>
      </c>
      <c r="T162" s="3">
        <v>47.73</v>
      </c>
      <c r="U162" s="3">
        <v>88.9</v>
      </c>
      <c r="V162" s="26">
        <v>-0.61757870458686903</v>
      </c>
      <c r="W162" s="18">
        <v>-1.1524825802085601</v>
      </c>
      <c r="X162" s="18">
        <v>-0.55417581652815096</v>
      </c>
      <c r="Y162" s="18">
        <v>3.9167797835422603E-2</v>
      </c>
      <c r="Z162" s="18">
        <v>-1.0550489178093301</v>
      </c>
      <c r="AA162" s="18">
        <v>-0.85981343765518303</v>
      </c>
      <c r="AB162" s="18">
        <v>-0.455877490666313</v>
      </c>
      <c r="AC162" s="18">
        <v>0.54856539449160002</v>
      </c>
      <c r="AD162" s="18">
        <v>-0.36479037724935198</v>
      </c>
      <c r="AE162" s="21">
        <v>0.32833977695447197</v>
      </c>
      <c r="AF162" s="3">
        <v>0</v>
      </c>
      <c r="AG162" s="3">
        <v>0.219585</v>
      </c>
      <c r="AH162" s="3">
        <v>-0.33625899999999997</v>
      </c>
      <c r="AI162" s="3">
        <v>59.591799999999999</v>
      </c>
      <c r="AJ162" s="3">
        <v>0.53079799999999999</v>
      </c>
      <c r="AK162" s="3">
        <v>-0.557805</v>
      </c>
      <c r="AL162" s="3">
        <v>0</v>
      </c>
      <c r="AM162" s="3">
        <v>8.5775599999999994E-2</v>
      </c>
      <c r="AN162" s="3">
        <v>-0.33723599999999998</v>
      </c>
      <c r="AO162" s="3">
        <v>58.484000000000002</v>
      </c>
      <c r="AP162" s="3">
        <v>0.33078600000000002</v>
      </c>
      <c r="AQ162" s="3">
        <v>-0.30072399999999999</v>
      </c>
      <c r="AR162" s="3">
        <v>0</v>
      </c>
      <c r="AS162" s="3">
        <v>0.113844</v>
      </c>
      <c r="AT162" s="3">
        <v>-0.77204399999999995</v>
      </c>
      <c r="AU162" s="3">
        <v>3.70262</v>
      </c>
      <c r="AV162" s="3">
        <v>0.112363</v>
      </c>
      <c r="AW162" s="3">
        <v>0.89664200000000005</v>
      </c>
      <c r="AX162" s="3">
        <v>0</v>
      </c>
      <c r="AY162" s="3">
        <v>1.2933399999999999E-2</v>
      </c>
      <c r="AZ162" s="21">
        <v>-0.58314500000000002</v>
      </c>
      <c r="BA162" s="3">
        <v>41.173000000000002</v>
      </c>
      <c r="BB162" s="3">
        <v>2</v>
      </c>
    </row>
    <row r="163" spans="1:54" s="3" customFormat="1" ht="47.25" customHeight="1" x14ac:dyDescent="0.25">
      <c r="A163" s="2">
        <v>161</v>
      </c>
      <c r="B163" s="3">
        <v>4</v>
      </c>
      <c r="C163" s="2">
        <v>2</v>
      </c>
      <c r="D163" s="9">
        <v>81</v>
      </c>
      <c r="E163" s="3" t="s">
        <v>16</v>
      </c>
      <c r="F163" s="3">
        <f t="shared" ref="F163:F170" si="22">IF(E263="Happy", 1,2)</f>
        <v>1</v>
      </c>
      <c r="G163" s="11"/>
      <c r="H163" s="3" t="s">
        <v>38</v>
      </c>
      <c r="I163" s="3">
        <f t="shared" si="17"/>
        <v>3</v>
      </c>
      <c r="J163" s="3" t="s">
        <v>41</v>
      </c>
      <c r="K163" s="3">
        <v>3</v>
      </c>
      <c r="L163" s="6" t="s">
        <v>159</v>
      </c>
      <c r="M163" s="3">
        <v>25</v>
      </c>
      <c r="N163" s="3">
        <f t="shared" si="18"/>
        <v>0.25</v>
      </c>
      <c r="O163" s="3">
        <v>11</v>
      </c>
      <c r="P163" s="3">
        <v>0.11</v>
      </c>
      <c r="Q163" s="17">
        <v>0.31666666666666671</v>
      </c>
      <c r="R163" s="21">
        <v>0.27537852736430513</v>
      </c>
      <c r="S163" s="3">
        <v>4</v>
      </c>
      <c r="T163" s="3">
        <v>88.9</v>
      </c>
      <c r="U163" s="3">
        <v>109.1</v>
      </c>
      <c r="V163" s="26">
        <v>-0.13165847924600199</v>
      </c>
      <c r="W163" s="18">
        <v>-1.4881028308306199</v>
      </c>
      <c r="X163" s="18">
        <v>-1.31078174994042</v>
      </c>
      <c r="Y163" s="18">
        <v>1.7882666233643101</v>
      </c>
      <c r="Z163" s="18">
        <v>0.62663641499004896</v>
      </c>
      <c r="AA163" s="18">
        <v>1.2062212400119701</v>
      </c>
      <c r="AB163" s="18">
        <v>-2.7179611586499401</v>
      </c>
      <c r="AC163" s="18">
        <v>-0.54836028792746505</v>
      </c>
      <c r="AD163" s="18">
        <v>-0.29685324475644798</v>
      </c>
      <c r="AE163" s="21">
        <v>1.05287473004367</v>
      </c>
      <c r="AF163" s="3">
        <v>0</v>
      </c>
      <c r="AG163" s="3">
        <v>0.26340400000000003</v>
      </c>
      <c r="AH163" s="3">
        <v>-0.33000099999999999</v>
      </c>
      <c r="AI163" s="3">
        <v>57.680900000000001</v>
      </c>
      <c r="AJ163" s="3">
        <v>0.23932800000000001</v>
      </c>
      <c r="AK163" s="3">
        <v>-1.7115199999999999</v>
      </c>
      <c r="AL163" s="3">
        <v>0</v>
      </c>
      <c r="AM163" s="3">
        <v>0.13449900000000001</v>
      </c>
      <c r="AN163" s="3">
        <v>-0.12753300000000001</v>
      </c>
      <c r="AO163" s="3">
        <v>55.123899999999999</v>
      </c>
      <c r="AP163" s="3">
        <v>0.30050500000000002</v>
      </c>
      <c r="AQ163" s="3">
        <v>0.67679900000000004</v>
      </c>
      <c r="AR163" s="3">
        <v>4.1030699999999998</v>
      </c>
      <c r="AS163" s="3">
        <v>8.2306500000000005E-2</v>
      </c>
      <c r="AT163" s="3">
        <v>2.1710400000000001</v>
      </c>
      <c r="AU163" s="3">
        <v>8.2656100000000006</v>
      </c>
      <c r="AV163" s="3">
        <v>0.29806100000000002</v>
      </c>
      <c r="AW163" s="3">
        <v>1.46417</v>
      </c>
      <c r="AX163" s="3">
        <v>0</v>
      </c>
      <c r="AY163" s="3">
        <v>8.9437600000000006E-2</v>
      </c>
      <c r="AZ163" s="21">
        <v>-0.508494</v>
      </c>
      <c r="BA163" s="3">
        <v>20.2</v>
      </c>
      <c r="BB163" s="3">
        <v>3</v>
      </c>
    </row>
    <row r="164" spans="1:54" s="3" customFormat="1" ht="63" customHeight="1" x14ac:dyDescent="0.25">
      <c r="A164" s="2">
        <v>162</v>
      </c>
      <c r="B164" s="3">
        <v>4</v>
      </c>
      <c r="C164" s="2">
        <v>2</v>
      </c>
      <c r="D164" s="9">
        <v>81</v>
      </c>
      <c r="E164" s="3" t="s">
        <v>16</v>
      </c>
      <c r="F164" s="3">
        <f t="shared" si="22"/>
        <v>1</v>
      </c>
      <c r="G164" s="11"/>
      <c r="H164" s="3" t="s">
        <v>38</v>
      </c>
      <c r="I164" s="3">
        <f t="shared" si="17"/>
        <v>3</v>
      </c>
      <c r="J164" s="3" t="s">
        <v>42</v>
      </c>
      <c r="K164" s="3">
        <v>4</v>
      </c>
      <c r="L164" s="6" t="s">
        <v>162</v>
      </c>
      <c r="M164" s="3">
        <v>25</v>
      </c>
      <c r="N164" s="3">
        <f t="shared" si="18"/>
        <v>0.25</v>
      </c>
      <c r="O164" s="3">
        <v>11</v>
      </c>
      <c r="P164" s="3">
        <v>0.11</v>
      </c>
      <c r="Q164" s="17">
        <v>0.27916666666666667</v>
      </c>
      <c r="R164" s="21">
        <v>0.37088014685789439</v>
      </c>
      <c r="S164" s="3">
        <v>6</v>
      </c>
      <c r="T164" s="3">
        <v>113.04</v>
      </c>
      <c r="U164" s="3">
        <v>153.04</v>
      </c>
      <c r="V164" s="26">
        <v>-0.25860541748896598</v>
      </c>
      <c r="W164" s="18">
        <v>-5.6116858866759002E-3</v>
      </c>
      <c r="X164" s="18">
        <v>-0.358323705670551</v>
      </c>
      <c r="Y164" s="18">
        <v>0.31263856365010001</v>
      </c>
      <c r="Z164" s="18">
        <v>-1.3515400818943</v>
      </c>
      <c r="AA164" s="18">
        <v>-1.5169053307749001</v>
      </c>
      <c r="AB164" s="18">
        <v>0.50517811117893296</v>
      </c>
      <c r="AC164" s="18">
        <v>0.45910737767295901</v>
      </c>
      <c r="AD164" s="18">
        <v>-1.08533572187105</v>
      </c>
      <c r="AE164" s="21">
        <v>1.4278650939345701</v>
      </c>
      <c r="AF164" s="3">
        <v>0</v>
      </c>
      <c r="AG164" s="3">
        <v>0.317334</v>
      </c>
      <c r="AH164" s="3">
        <v>4.9463199999999999E-2</v>
      </c>
      <c r="AI164" s="3">
        <v>59.879899999999999</v>
      </c>
      <c r="AJ164" s="3">
        <v>0.57365699999999997</v>
      </c>
      <c r="AK164" s="3">
        <v>-0.65944599999999998</v>
      </c>
      <c r="AL164" s="3">
        <v>0</v>
      </c>
      <c r="AM164" s="3">
        <v>0.10817499999999999</v>
      </c>
      <c r="AN164" s="3">
        <v>-0.31010900000000002</v>
      </c>
      <c r="AO164" s="3">
        <v>55.677799999999998</v>
      </c>
      <c r="AP164" s="3">
        <v>0.45907300000000001</v>
      </c>
      <c r="AQ164" s="3">
        <v>-0.25304599999999999</v>
      </c>
      <c r="AR164" s="3">
        <v>0</v>
      </c>
      <c r="AS164" s="3">
        <v>0.13305900000000001</v>
      </c>
      <c r="AT164" s="3">
        <v>-0.522617</v>
      </c>
      <c r="AU164" s="3">
        <v>5.8529299999999997</v>
      </c>
      <c r="AV164" s="3">
        <v>0.25620900000000002</v>
      </c>
      <c r="AW164" s="3">
        <v>1.5080199999999999</v>
      </c>
      <c r="AX164" s="3">
        <v>0</v>
      </c>
      <c r="AY164" s="3">
        <v>0</v>
      </c>
      <c r="AZ164" s="21">
        <v>-0.59737799999999996</v>
      </c>
      <c r="BA164" s="3">
        <v>40.000999999999998</v>
      </c>
      <c r="BB164" s="3">
        <v>4</v>
      </c>
    </row>
    <row r="165" spans="1:54" s="3" customFormat="1" ht="94.5" customHeight="1" x14ac:dyDescent="0.25">
      <c r="A165" s="2">
        <v>163</v>
      </c>
      <c r="B165" s="3">
        <v>4</v>
      </c>
      <c r="C165" s="2">
        <v>2</v>
      </c>
      <c r="D165" s="9">
        <v>81</v>
      </c>
      <c r="E165" s="3" t="s">
        <v>16</v>
      </c>
      <c r="F165" s="3">
        <f t="shared" si="22"/>
        <v>1</v>
      </c>
      <c r="G165" s="11"/>
      <c r="H165" s="3" t="s">
        <v>38</v>
      </c>
      <c r="I165" s="3">
        <f t="shared" si="17"/>
        <v>3</v>
      </c>
      <c r="J165" s="3" t="s">
        <v>43</v>
      </c>
      <c r="K165" s="3">
        <v>5</v>
      </c>
      <c r="L165" s="6" t="s">
        <v>223</v>
      </c>
      <c r="M165" s="3">
        <v>25</v>
      </c>
      <c r="N165" s="3">
        <f t="shared" si="18"/>
        <v>0.25</v>
      </c>
      <c r="O165" s="3">
        <v>11</v>
      </c>
      <c r="P165" s="3">
        <v>0.11</v>
      </c>
      <c r="Q165" s="17">
        <v>-0.13593749999999999</v>
      </c>
      <c r="R165" s="21">
        <v>0.52062108770610283</v>
      </c>
      <c r="S165" s="3">
        <v>8</v>
      </c>
      <c r="T165" s="3">
        <v>155.87</v>
      </c>
      <c r="U165" s="3">
        <v>183.08</v>
      </c>
      <c r="V165" s="26">
        <v>-0.21212956936091401</v>
      </c>
      <c r="W165" s="18">
        <v>-0.94231770309105001</v>
      </c>
      <c r="X165" s="18">
        <v>-0.33225724398590201</v>
      </c>
      <c r="Y165" s="18">
        <v>1.80486170908954</v>
      </c>
      <c r="Z165" s="18">
        <v>-1.24595206049652</v>
      </c>
      <c r="AA165" s="18">
        <v>-0.74905089776802902</v>
      </c>
      <c r="AB165" s="18">
        <v>0.97314420327234996</v>
      </c>
      <c r="AC165" s="18">
        <v>-0.146651193356133</v>
      </c>
      <c r="AD165" s="18">
        <v>-1.0688661139939899</v>
      </c>
      <c r="AE165" s="21">
        <v>1.0126971910553599</v>
      </c>
      <c r="AF165" s="3">
        <v>0.264706</v>
      </c>
      <c r="AG165" s="3">
        <v>0.17949000000000001</v>
      </c>
      <c r="AH165" s="3">
        <v>5.3576699999999997</v>
      </c>
      <c r="AI165" s="3">
        <v>59.073500000000003</v>
      </c>
      <c r="AJ165" s="3">
        <v>0.657277</v>
      </c>
      <c r="AK165" s="3">
        <v>-0.36318099999999998</v>
      </c>
      <c r="AL165" s="3">
        <v>0</v>
      </c>
      <c r="AM165" s="3">
        <v>5.66708E-2</v>
      </c>
      <c r="AN165" s="3">
        <v>-0.35247800000000001</v>
      </c>
      <c r="AO165" s="3">
        <v>52.941200000000002</v>
      </c>
      <c r="AP165" s="3">
        <v>0.24902299999999999</v>
      </c>
      <c r="AQ165" s="3">
        <v>-0.374718</v>
      </c>
      <c r="AR165" s="3">
        <v>0</v>
      </c>
      <c r="AS165" s="3">
        <v>5.6174599999999998E-2</v>
      </c>
      <c r="AT165" s="3">
        <v>-0.82131299999999996</v>
      </c>
      <c r="AU165" s="3">
        <v>5.9117600000000001</v>
      </c>
      <c r="AV165" s="3">
        <v>0.19956199999999999</v>
      </c>
      <c r="AW165" s="3">
        <v>1.0683800000000001</v>
      </c>
      <c r="AX165" s="3">
        <v>0</v>
      </c>
      <c r="AY165" s="3">
        <v>0</v>
      </c>
      <c r="AZ165" s="21">
        <v>-0.59737799999999996</v>
      </c>
      <c r="BA165" s="3">
        <v>27.213999999999999</v>
      </c>
      <c r="BB165" s="3">
        <v>5</v>
      </c>
    </row>
    <row r="166" spans="1:54" s="3" customFormat="1" ht="94.5" customHeight="1" x14ac:dyDescent="0.25">
      <c r="A166" s="2">
        <v>164</v>
      </c>
      <c r="B166" s="3">
        <v>4</v>
      </c>
      <c r="C166" s="2">
        <v>2</v>
      </c>
      <c r="D166" s="9">
        <v>81</v>
      </c>
      <c r="E166" s="3" t="s">
        <v>16</v>
      </c>
      <c r="F166" s="3">
        <f t="shared" si="22"/>
        <v>1</v>
      </c>
      <c r="G166" s="11"/>
      <c r="H166" s="3" t="s">
        <v>38</v>
      </c>
      <c r="I166" s="3">
        <f t="shared" si="17"/>
        <v>3</v>
      </c>
      <c r="J166" s="3" t="s">
        <v>44</v>
      </c>
      <c r="K166" s="3">
        <v>6</v>
      </c>
      <c r="L166" s="6" t="s">
        <v>190</v>
      </c>
      <c r="M166" s="3">
        <v>25</v>
      </c>
      <c r="N166" s="3">
        <f t="shared" si="18"/>
        <v>0.25</v>
      </c>
      <c r="O166" s="3">
        <v>11</v>
      </c>
      <c r="P166" s="3">
        <v>0.11</v>
      </c>
      <c r="Q166" s="17">
        <v>5.5555555555555573E-2</v>
      </c>
      <c r="R166" s="21">
        <v>0.2939513691198043</v>
      </c>
      <c r="S166" s="3">
        <v>9</v>
      </c>
      <c r="T166" s="3">
        <v>183.08</v>
      </c>
      <c r="U166" s="3">
        <v>226.39</v>
      </c>
      <c r="V166" s="26">
        <v>-0.41352491124914498</v>
      </c>
      <c r="W166" s="18">
        <v>0.27541882720388</v>
      </c>
      <c r="X166" s="18">
        <v>-0.53111105195344699</v>
      </c>
      <c r="Y166" s="18">
        <v>0.25217674782602001</v>
      </c>
      <c r="Z166" s="18">
        <v>-0.49392400409541798</v>
      </c>
      <c r="AA166" s="18">
        <v>-0.26515789689350899</v>
      </c>
      <c r="AB166" s="18">
        <v>0.83857265361893296</v>
      </c>
      <c r="AC166" s="18">
        <v>0.25803983510915302</v>
      </c>
      <c r="AD166" s="18">
        <v>0.137017987755047</v>
      </c>
      <c r="AE166" s="21">
        <v>-0.14173742920876201</v>
      </c>
      <c r="AF166" s="3">
        <v>0</v>
      </c>
      <c r="AG166" s="3">
        <v>0.36252000000000001</v>
      </c>
      <c r="AH166" s="3">
        <v>-7.5566999999999995E-2</v>
      </c>
      <c r="AI166" s="3">
        <v>59.168199999999999</v>
      </c>
      <c r="AJ166" s="3">
        <v>0.797767</v>
      </c>
      <c r="AK166" s="3">
        <v>-0.104833</v>
      </c>
      <c r="AL166" s="3">
        <v>0</v>
      </c>
      <c r="AM166" s="3">
        <v>0.208097</v>
      </c>
      <c r="AN166" s="3">
        <v>-8.3366200000000001E-2</v>
      </c>
      <c r="AO166" s="3">
        <v>53.789299999999997</v>
      </c>
      <c r="AP166" s="3">
        <v>0.45789200000000002</v>
      </c>
      <c r="AQ166" s="3">
        <v>0.29320099999999999</v>
      </c>
      <c r="AR166" s="3">
        <v>1.7190399999999999</v>
      </c>
      <c r="AS166" s="3">
        <v>0.12545600000000001</v>
      </c>
      <c r="AT166" s="3">
        <v>2.4554200000000002</v>
      </c>
      <c r="AU166" s="3">
        <v>6.90388</v>
      </c>
      <c r="AV166" s="3">
        <v>0.163998</v>
      </c>
      <c r="AW166" s="3">
        <v>1.03653</v>
      </c>
      <c r="AX166" s="3">
        <v>0</v>
      </c>
      <c r="AY166" s="3">
        <v>0.21931400000000001</v>
      </c>
      <c r="AZ166" s="21">
        <v>-0.13042400000000001</v>
      </c>
      <c r="BA166" s="3">
        <v>43.308</v>
      </c>
      <c r="BB166" s="3">
        <v>6</v>
      </c>
    </row>
    <row r="167" spans="1:54" s="3" customFormat="1" ht="110.25" customHeight="1" x14ac:dyDescent="0.25">
      <c r="A167" s="2">
        <v>165</v>
      </c>
      <c r="B167" s="3">
        <v>4</v>
      </c>
      <c r="C167" s="2">
        <v>2</v>
      </c>
      <c r="D167" s="9">
        <v>81</v>
      </c>
      <c r="E167" s="3" t="s">
        <v>16</v>
      </c>
      <c r="F167" s="3">
        <f t="shared" si="22"/>
        <v>1</v>
      </c>
      <c r="G167" s="11"/>
      <c r="H167" s="3" t="s">
        <v>38</v>
      </c>
      <c r="I167" s="3">
        <f t="shared" si="17"/>
        <v>3</v>
      </c>
      <c r="J167" s="3" t="s">
        <v>45</v>
      </c>
      <c r="K167" s="3">
        <v>7</v>
      </c>
      <c r="L167" s="6" t="s">
        <v>224</v>
      </c>
      <c r="M167" s="3">
        <v>25</v>
      </c>
      <c r="N167" s="3">
        <f t="shared" si="18"/>
        <v>0.25</v>
      </c>
      <c r="O167" s="3">
        <v>11</v>
      </c>
      <c r="P167" s="3">
        <v>0.11</v>
      </c>
      <c r="Q167" s="17">
        <v>-5.8999999999999969E-2</v>
      </c>
      <c r="R167" s="21">
        <v>0.38311878053679382</v>
      </c>
      <c r="S167" s="3">
        <v>10</v>
      </c>
      <c r="T167" s="3">
        <v>226.39</v>
      </c>
      <c r="U167" s="3">
        <v>275.08</v>
      </c>
      <c r="V167" s="26">
        <v>-0.57025591617402205</v>
      </c>
      <c r="W167" s="18">
        <v>-0.22629977320346001</v>
      </c>
      <c r="X167" s="18">
        <v>6.2828199761189002E-2</v>
      </c>
      <c r="Y167" s="18">
        <v>3.4061617612275198E-2</v>
      </c>
      <c r="Z167" s="18">
        <v>-1.8015260610855199</v>
      </c>
      <c r="AA167" s="18">
        <v>-2.32068884163689</v>
      </c>
      <c r="AB167" s="18">
        <v>2.9530703889279399E-2</v>
      </c>
      <c r="AC167" s="18">
        <v>0.31810450354452702</v>
      </c>
      <c r="AD167" s="18">
        <v>-0.223254684555803</v>
      </c>
      <c r="AE167" s="21">
        <v>0.37655282374044402</v>
      </c>
      <c r="AF167" s="3">
        <v>0.468557</v>
      </c>
      <c r="AG167" s="3">
        <v>9.8027299999999998E-2</v>
      </c>
      <c r="AH167" s="3">
        <v>3.8168500000000001</v>
      </c>
      <c r="AI167" s="3">
        <v>59.753399999999999</v>
      </c>
      <c r="AJ167" s="3">
        <v>0.84473100000000001</v>
      </c>
      <c r="AK167" s="3">
        <v>0.56764800000000004</v>
      </c>
      <c r="AL167" s="3">
        <v>0</v>
      </c>
      <c r="AM167" s="3">
        <v>0.27689599999999998</v>
      </c>
      <c r="AN167" s="3">
        <v>2.89944E-2</v>
      </c>
      <c r="AO167" s="3">
        <v>52.083799999999997</v>
      </c>
      <c r="AP167" s="3">
        <v>0.346136</v>
      </c>
      <c r="AQ167" s="3">
        <v>0.566411</v>
      </c>
      <c r="AR167" s="3">
        <v>0.468557</v>
      </c>
      <c r="AS167" s="3">
        <v>8.01703E-2</v>
      </c>
      <c r="AT167" s="3">
        <v>2.16249</v>
      </c>
      <c r="AU167" s="3">
        <v>3.1566000000000001</v>
      </c>
      <c r="AV167" s="3">
        <v>0.21552199999999999</v>
      </c>
      <c r="AW167" s="3">
        <v>0.95723100000000005</v>
      </c>
      <c r="AX167" s="3">
        <v>0</v>
      </c>
      <c r="AY167" s="3">
        <v>0</v>
      </c>
      <c r="AZ167" s="21">
        <v>-0.59737799999999996</v>
      </c>
      <c r="BA167" s="3">
        <v>48.686999999999998</v>
      </c>
      <c r="BB167" s="3">
        <v>7</v>
      </c>
    </row>
    <row r="168" spans="1:54" s="3" customFormat="1" ht="94.5" customHeight="1" x14ac:dyDescent="0.25">
      <c r="A168" s="2">
        <v>166</v>
      </c>
      <c r="B168" s="3">
        <v>4</v>
      </c>
      <c r="C168" s="2">
        <v>2</v>
      </c>
      <c r="D168" s="9">
        <v>81</v>
      </c>
      <c r="E168" s="3" t="s">
        <v>16</v>
      </c>
      <c r="F168" s="3">
        <f t="shared" si="22"/>
        <v>1</v>
      </c>
      <c r="G168" s="11"/>
      <c r="H168" s="3" t="s">
        <v>38</v>
      </c>
      <c r="I168" s="3">
        <f t="shared" si="17"/>
        <v>3</v>
      </c>
      <c r="J168" s="3" t="s">
        <v>46</v>
      </c>
      <c r="K168" s="3">
        <v>8</v>
      </c>
      <c r="L168" s="6" t="s">
        <v>168</v>
      </c>
      <c r="M168" s="3">
        <v>25</v>
      </c>
      <c r="N168" s="3">
        <f t="shared" si="18"/>
        <v>0.25</v>
      </c>
      <c r="O168" s="3">
        <v>11</v>
      </c>
      <c r="P168" s="3">
        <v>0.11</v>
      </c>
      <c r="Q168" s="17">
        <v>4.9047619047619062E-2</v>
      </c>
      <c r="R168" s="21">
        <v>0.38268406022081702</v>
      </c>
      <c r="S168" s="3">
        <v>11</v>
      </c>
      <c r="T168" s="3">
        <v>275.08</v>
      </c>
      <c r="U168" s="3">
        <v>315.77999999999997</v>
      </c>
      <c r="V168" s="26">
        <v>-0.343158289254204</v>
      </c>
      <c r="W168" s="18">
        <v>0.37733962572054502</v>
      </c>
      <c r="X168" s="18">
        <v>0.23891626278950501</v>
      </c>
      <c r="Y168" s="18">
        <v>-6.3478029604881706E-2</v>
      </c>
      <c r="Z168" s="18">
        <v>0.15661887973936101</v>
      </c>
      <c r="AA168" s="18">
        <v>0.39847065405430199</v>
      </c>
      <c r="AB168" s="18">
        <v>0.40990433982228902</v>
      </c>
      <c r="AC168" s="18">
        <v>0.83909095387404797</v>
      </c>
      <c r="AD168" s="18">
        <v>1.1097542029943399</v>
      </c>
      <c r="AE168" s="21">
        <v>-0.95064521417341696</v>
      </c>
      <c r="AF168" s="3">
        <v>0.56047199999999997</v>
      </c>
      <c r="AG168" s="3">
        <v>0.24729599999999999</v>
      </c>
      <c r="AH168" s="3">
        <v>5.0493499999999996</v>
      </c>
      <c r="AI168" s="3">
        <v>59.350999999999999</v>
      </c>
      <c r="AJ168" s="3">
        <v>0.41486800000000001</v>
      </c>
      <c r="AK168" s="3">
        <v>0.41807699999999998</v>
      </c>
      <c r="AL168" s="3">
        <v>0</v>
      </c>
      <c r="AM168" s="3">
        <v>0.15978200000000001</v>
      </c>
      <c r="AN168" s="3">
        <v>-5.0641899999999997E-2</v>
      </c>
      <c r="AO168" s="3">
        <v>54.0413</v>
      </c>
      <c r="AP168" s="3">
        <v>0.32600299999999999</v>
      </c>
      <c r="AQ168" s="3">
        <v>-0.20227400000000001</v>
      </c>
      <c r="AR168" s="3">
        <v>2.0649000000000002</v>
      </c>
      <c r="AS168" s="3">
        <v>0.129439</v>
      </c>
      <c r="AT168" s="3">
        <v>2.2911100000000002</v>
      </c>
      <c r="AU168" s="3">
        <v>5.9587000000000003</v>
      </c>
      <c r="AV168" s="3">
        <v>0.32096999999999998</v>
      </c>
      <c r="AW168" s="3">
        <v>1.7895000000000001</v>
      </c>
      <c r="AX168" s="3">
        <v>0.17699100000000001</v>
      </c>
      <c r="AY168" s="3">
        <v>0.16908599999999999</v>
      </c>
      <c r="AZ168" s="21">
        <v>4.0604899999999997</v>
      </c>
      <c r="BA168" s="3">
        <v>40.698</v>
      </c>
      <c r="BB168" s="3">
        <v>8</v>
      </c>
    </row>
    <row r="169" spans="1:54" s="3" customFormat="1" ht="47.25" customHeight="1" x14ac:dyDescent="0.25">
      <c r="A169" s="2">
        <v>167</v>
      </c>
      <c r="B169" s="3">
        <v>4</v>
      </c>
      <c r="C169" s="2">
        <v>2</v>
      </c>
      <c r="D169" s="9">
        <v>81</v>
      </c>
      <c r="E169" s="3" t="s">
        <v>16</v>
      </c>
      <c r="F169" s="3">
        <f t="shared" si="22"/>
        <v>1</v>
      </c>
      <c r="G169" s="11"/>
      <c r="H169" s="3" t="s">
        <v>38</v>
      </c>
      <c r="I169" s="3">
        <f t="shared" si="17"/>
        <v>3</v>
      </c>
      <c r="J169" s="3" t="s">
        <v>47</v>
      </c>
      <c r="K169" s="3">
        <v>9</v>
      </c>
      <c r="L169" s="6" t="s">
        <v>155</v>
      </c>
      <c r="M169" s="3">
        <v>25</v>
      </c>
      <c r="N169" s="3">
        <f t="shared" si="18"/>
        <v>0.25</v>
      </c>
      <c r="O169" s="3">
        <v>11</v>
      </c>
      <c r="P169" s="3">
        <v>0.11</v>
      </c>
      <c r="Q169" s="17">
        <v>0.43844444444444453</v>
      </c>
      <c r="R169" s="21">
        <v>0.38716997894024868</v>
      </c>
      <c r="S169" s="3">
        <v>13</v>
      </c>
      <c r="T169" s="3">
        <v>319</v>
      </c>
      <c r="U169" s="3">
        <v>337.99</v>
      </c>
      <c r="V169" s="26">
        <v>9.2898326819433899E-2</v>
      </c>
      <c r="W169" s="18">
        <v>-0.45641665685879101</v>
      </c>
      <c r="X169" s="18">
        <v>0.405544954657165</v>
      </c>
      <c r="Y169" s="18">
        <v>-0.82174579274220705</v>
      </c>
      <c r="Z169" s="18">
        <v>-1.5821443206267001E-3</v>
      </c>
      <c r="AA169" s="18">
        <v>-0.14871522675573401</v>
      </c>
      <c r="AB169" s="18">
        <v>2.0103339457919001</v>
      </c>
      <c r="AC169" s="18">
        <v>-1.5779794624544099</v>
      </c>
      <c r="AD169" s="18">
        <v>0.728379845591001</v>
      </c>
      <c r="AE169" s="21">
        <v>0.601547042074984</v>
      </c>
      <c r="AF169" s="3">
        <v>0</v>
      </c>
      <c r="AG169" s="3">
        <v>0.38592900000000002</v>
      </c>
      <c r="AH169" s="3">
        <v>0.30647999999999997</v>
      </c>
      <c r="AI169" s="3">
        <v>59.873399999999997</v>
      </c>
      <c r="AJ169" s="3">
        <v>0.574681</v>
      </c>
      <c r="AK169" s="3">
        <v>1.0619700000000001</v>
      </c>
      <c r="AL169" s="3">
        <v>0.82278499999999999</v>
      </c>
      <c r="AM169" s="3">
        <v>0.203986</v>
      </c>
      <c r="AN169" s="3">
        <v>4.5735599999999996</v>
      </c>
      <c r="AO169" s="3">
        <v>51.012700000000002</v>
      </c>
      <c r="AP169" s="3">
        <v>0.47448699999999999</v>
      </c>
      <c r="AQ169" s="3">
        <v>1.23498</v>
      </c>
      <c r="AR169" s="3">
        <v>0.88607599999999997</v>
      </c>
      <c r="AS169" s="3">
        <v>6.0470400000000001E-2</v>
      </c>
      <c r="AT169" s="3">
        <v>2.1754899999999999</v>
      </c>
      <c r="AU169" s="3">
        <v>2.6582300000000001</v>
      </c>
      <c r="AV169" s="3">
        <v>9.4794000000000003E-2</v>
      </c>
      <c r="AW169" s="3">
        <v>1.0052000000000001</v>
      </c>
      <c r="AX169" s="3">
        <v>1.07595</v>
      </c>
      <c r="AY169" s="3">
        <v>9.6666699999999994E-2</v>
      </c>
      <c r="AZ169" s="21">
        <v>3.9633600000000002</v>
      </c>
      <c r="BA169" s="3">
        <v>18.986999999999998</v>
      </c>
      <c r="BB169" s="3">
        <v>9</v>
      </c>
    </row>
    <row r="170" spans="1:54" s="3" customFormat="1" ht="47.25" customHeight="1" x14ac:dyDescent="0.25">
      <c r="A170" s="2">
        <v>168</v>
      </c>
      <c r="B170" s="3">
        <v>4</v>
      </c>
      <c r="C170" s="2">
        <v>2</v>
      </c>
      <c r="D170" s="9">
        <v>81</v>
      </c>
      <c r="E170" s="3" t="s">
        <v>16</v>
      </c>
      <c r="F170" s="3">
        <f t="shared" si="22"/>
        <v>1</v>
      </c>
      <c r="G170" s="11"/>
      <c r="H170" s="3" t="s">
        <v>38</v>
      </c>
      <c r="I170" s="3">
        <f t="shared" si="17"/>
        <v>3</v>
      </c>
      <c r="J170" s="3" t="s">
        <v>48</v>
      </c>
      <c r="K170" s="3">
        <v>10</v>
      </c>
      <c r="L170" s="6" t="s">
        <v>151</v>
      </c>
      <c r="M170" s="3">
        <v>25</v>
      </c>
      <c r="N170" s="3">
        <f t="shared" si="18"/>
        <v>0.25</v>
      </c>
      <c r="O170" s="3">
        <v>11</v>
      </c>
      <c r="P170" s="3">
        <v>0.11</v>
      </c>
      <c r="Q170" s="17">
        <v>0.16666666666666671</v>
      </c>
      <c r="R170" s="21">
        <v>0.15275252316519469</v>
      </c>
      <c r="S170" s="3">
        <v>14</v>
      </c>
      <c r="T170" s="3">
        <v>337.99</v>
      </c>
      <c r="U170" s="3">
        <v>355.59</v>
      </c>
      <c r="V170" s="26">
        <v>0.236619387925118</v>
      </c>
      <c r="W170" s="18">
        <v>0.84603873101373095</v>
      </c>
      <c r="X170" s="18">
        <v>1.7245263171088001</v>
      </c>
      <c r="Y170" s="18">
        <v>-0.22542517736400799</v>
      </c>
      <c r="Z170" s="18">
        <v>-1.0263289759891401</v>
      </c>
      <c r="AA170" s="18">
        <v>-4.7058927429104502E-2</v>
      </c>
      <c r="AB170" s="18">
        <v>5.5375571041260098E-2</v>
      </c>
      <c r="AC170" s="18">
        <v>-0.49596344950511601</v>
      </c>
      <c r="AD170" s="18">
        <v>-1.4559018991050701</v>
      </c>
      <c r="AE170" s="21">
        <v>0.87877206109432704</v>
      </c>
      <c r="AF170" s="3">
        <v>0</v>
      </c>
      <c r="AG170" s="3">
        <v>0.32920300000000002</v>
      </c>
      <c r="AH170" s="3">
        <v>-0.133099</v>
      </c>
      <c r="AI170" s="3">
        <v>59.522199999999998</v>
      </c>
      <c r="AJ170" s="3">
        <v>0.42776599999999998</v>
      </c>
      <c r="AK170" s="3">
        <v>0.87175100000000005</v>
      </c>
      <c r="AL170" s="3">
        <v>0</v>
      </c>
      <c r="AM170" s="3">
        <v>7.0467500000000002E-2</v>
      </c>
      <c r="AN170" s="3">
        <v>-0.33249800000000002</v>
      </c>
      <c r="AO170" s="3">
        <v>51.194499999999998</v>
      </c>
      <c r="AP170" s="3">
        <v>0.19069800000000001</v>
      </c>
      <c r="AQ170" s="3">
        <v>-0.67169800000000002</v>
      </c>
      <c r="AR170" s="3">
        <v>0.75085299999999999</v>
      </c>
      <c r="AS170" s="3">
        <v>7.4406700000000006E-2</v>
      </c>
      <c r="AT170" s="3">
        <v>2.1873800000000001</v>
      </c>
      <c r="AU170" s="3">
        <v>2.5938599999999998</v>
      </c>
      <c r="AV170" s="3">
        <v>7.97205E-2</v>
      </c>
      <c r="AW170" s="3">
        <v>0.78047200000000005</v>
      </c>
      <c r="AX170" s="3">
        <v>1.02389</v>
      </c>
      <c r="AY170" s="3">
        <v>0.25839800000000002</v>
      </c>
      <c r="AZ170" s="21">
        <v>4.6418200000000001</v>
      </c>
      <c r="BA170" s="3">
        <v>17.603000000000002</v>
      </c>
      <c r="BB170" s="3">
        <v>10</v>
      </c>
    </row>
    <row r="171" spans="1:54" s="3" customFormat="1" ht="63" customHeight="1" x14ac:dyDescent="0.25">
      <c r="A171" s="2">
        <v>169</v>
      </c>
      <c r="B171" s="3">
        <v>4</v>
      </c>
      <c r="C171" s="2">
        <v>2</v>
      </c>
      <c r="D171" s="9">
        <v>81</v>
      </c>
      <c r="E171" s="3" t="s">
        <v>53</v>
      </c>
      <c r="F171" s="3">
        <f>IF(E272="Happy", 1,2)</f>
        <v>1</v>
      </c>
      <c r="G171" s="11" t="s">
        <v>54</v>
      </c>
      <c r="H171" s="3" t="s">
        <v>54</v>
      </c>
      <c r="I171" s="3">
        <f t="shared" si="17"/>
        <v>1</v>
      </c>
      <c r="J171" s="3" t="s">
        <v>55</v>
      </c>
      <c r="K171" s="3">
        <v>1</v>
      </c>
      <c r="L171" s="6" t="s">
        <v>175</v>
      </c>
      <c r="M171" s="3">
        <v>-40</v>
      </c>
      <c r="N171" s="3">
        <f t="shared" si="18"/>
        <v>-0.4</v>
      </c>
      <c r="O171" s="3">
        <v>2</v>
      </c>
      <c r="P171" s="3">
        <v>0.02</v>
      </c>
      <c r="Q171" s="17">
        <v>-0.19235185185185191</v>
      </c>
      <c r="R171" s="21">
        <v>0.40897740713555941</v>
      </c>
      <c r="S171" s="3">
        <v>2</v>
      </c>
      <c r="T171" s="3">
        <v>16.12</v>
      </c>
      <c r="U171" s="3">
        <v>47.68</v>
      </c>
      <c r="V171" s="26">
        <v>0.36400155936999401</v>
      </c>
      <c r="W171" s="18">
        <v>-0.522025364714508</v>
      </c>
      <c r="X171" s="18">
        <v>-0.149435488781825</v>
      </c>
      <c r="Y171" s="18">
        <v>-0.27799562375231801</v>
      </c>
      <c r="Z171" s="18">
        <v>1.97019873526763</v>
      </c>
      <c r="AA171" s="18">
        <v>1.68272105548092</v>
      </c>
      <c r="AB171" s="18">
        <v>0.529198135494239</v>
      </c>
      <c r="AC171" s="18">
        <v>-0.54197042958327601</v>
      </c>
      <c r="AD171" s="18">
        <v>-9.8188599739322202E-2</v>
      </c>
      <c r="AE171" s="21">
        <v>-0.80332757121627796</v>
      </c>
      <c r="AF171" s="3">
        <v>0</v>
      </c>
      <c r="AG171" s="3">
        <v>0.276194</v>
      </c>
      <c r="AH171" s="3">
        <v>-0.34493299999999999</v>
      </c>
      <c r="AI171" s="3">
        <v>59.201000000000001</v>
      </c>
      <c r="AJ171" s="3">
        <v>0.476825</v>
      </c>
      <c r="AK171" s="3">
        <v>-1.0907500000000001</v>
      </c>
      <c r="AL171" s="3">
        <v>0</v>
      </c>
      <c r="AM171" s="3">
        <v>0.11848400000000001</v>
      </c>
      <c r="AN171" s="3">
        <v>-5.9050900000000003E-2</v>
      </c>
      <c r="AO171" s="3">
        <v>58.325899999999997</v>
      </c>
      <c r="AP171" s="3">
        <v>0.60350499999999996</v>
      </c>
      <c r="AQ171" s="3">
        <v>-3.8602200000000001E-3</v>
      </c>
      <c r="AR171" s="3">
        <v>2.39696</v>
      </c>
      <c r="AS171" s="3">
        <v>0.173064</v>
      </c>
      <c r="AT171" s="3">
        <v>2.88625</v>
      </c>
      <c r="AU171" s="3">
        <v>1.8643000000000001</v>
      </c>
      <c r="AV171" s="3">
        <v>0.13536500000000001</v>
      </c>
      <c r="AW171" s="3">
        <v>1.4859100000000001</v>
      </c>
      <c r="AX171" s="3">
        <v>0</v>
      </c>
      <c r="AY171" s="3">
        <v>2.9277000000000001E-2</v>
      </c>
      <c r="AZ171" s="21">
        <v>-0.57224399999999997</v>
      </c>
      <c r="BA171" s="3">
        <v>31.56</v>
      </c>
      <c r="BB171" s="3">
        <v>1</v>
      </c>
    </row>
    <row r="172" spans="1:54" s="3" customFormat="1" ht="47.25" customHeight="1" x14ac:dyDescent="0.25">
      <c r="A172" s="2">
        <v>170</v>
      </c>
      <c r="B172" s="3">
        <v>4</v>
      </c>
      <c r="C172" s="2">
        <v>2</v>
      </c>
      <c r="D172" s="9">
        <v>81</v>
      </c>
      <c r="E172" s="3" t="s">
        <v>53</v>
      </c>
      <c r="F172" s="3">
        <f>IF(E273="Happy", 1,2)</f>
        <v>1</v>
      </c>
      <c r="G172" s="11"/>
      <c r="H172" s="3" t="s">
        <v>54</v>
      </c>
      <c r="I172" s="3">
        <f t="shared" si="17"/>
        <v>1</v>
      </c>
      <c r="J172" s="3" t="s">
        <v>56</v>
      </c>
      <c r="K172" s="3">
        <v>2</v>
      </c>
      <c r="L172" s="6" t="s">
        <v>158</v>
      </c>
      <c r="M172" s="3">
        <v>-40</v>
      </c>
      <c r="N172" s="3">
        <f t="shared" si="18"/>
        <v>-0.4</v>
      </c>
      <c r="O172" s="3">
        <v>2</v>
      </c>
      <c r="P172" s="3">
        <v>0.02</v>
      </c>
      <c r="Q172" s="17">
        <v>1.6666666666666691E-2</v>
      </c>
      <c r="R172" s="21">
        <v>0.47140452079103168</v>
      </c>
      <c r="S172" s="3">
        <v>3</v>
      </c>
      <c r="T172" s="3">
        <v>47.68</v>
      </c>
      <c r="U172" s="3">
        <v>70.510000000000005</v>
      </c>
      <c r="V172" s="26">
        <v>1.4366161408826601</v>
      </c>
      <c r="W172" s="18">
        <v>-1.2106174703316399</v>
      </c>
      <c r="X172" s="18">
        <v>1.41685044654678E-2</v>
      </c>
      <c r="Y172" s="18">
        <v>-0.24532767527923</v>
      </c>
      <c r="Z172" s="18">
        <v>1.28816045305019</v>
      </c>
      <c r="AA172" s="18">
        <v>1.6983639538695401</v>
      </c>
      <c r="AB172" s="18">
        <v>0.44181787036135201</v>
      </c>
      <c r="AC172" s="18">
        <v>0.60479614792046099</v>
      </c>
      <c r="AD172" s="18">
        <v>-7.2969512677562604E-2</v>
      </c>
      <c r="AE172" s="21">
        <v>-1.1649254221110701</v>
      </c>
      <c r="AF172" s="3">
        <v>0</v>
      </c>
      <c r="AG172" s="3">
        <v>0.106559</v>
      </c>
      <c r="AH172" s="3">
        <v>-0.61918600000000001</v>
      </c>
      <c r="AI172" s="3">
        <v>60</v>
      </c>
      <c r="AJ172" s="3">
        <v>0.39769900000000002</v>
      </c>
      <c r="AK172" s="3">
        <v>-0.61635399999999996</v>
      </c>
      <c r="AL172" s="3">
        <v>0</v>
      </c>
      <c r="AM172" s="3">
        <v>0.15694</v>
      </c>
      <c r="AN172" s="3">
        <v>-0.108857</v>
      </c>
      <c r="AO172" s="3">
        <v>59.1586</v>
      </c>
      <c r="AP172" s="3">
        <v>0.33951100000000001</v>
      </c>
      <c r="AQ172" s="3">
        <v>-0.12931100000000001</v>
      </c>
      <c r="AR172" s="3">
        <v>0.893953</v>
      </c>
      <c r="AS172" s="3">
        <v>6.9247699999999995E-2</v>
      </c>
      <c r="AT172" s="3">
        <v>2.2830400000000002</v>
      </c>
      <c r="AU172" s="3">
        <v>0</v>
      </c>
      <c r="AV172" s="3">
        <v>0.441998</v>
      </c>
      <c r="AW172" s="3">
        <v>0.148373</v>
      </c>
      <c r="AX172" s="3">
        <v>0</v>
      </c>
      <c r="AY172" s="3">
        <v>0</v>
      </c>
      <c r="AZ172" s="21">
        <v>-0.616317</v>
      </c>
      <c r="BA172" s="3">
        <v>22.832999999999998</v>
      </c>
      <c r="BB172" s="3">
        <v>2</v>
      </c>
    </row>
    <row r="173" spans="1:54" s="3" customFormat="1" ht="78.75" customHeight="1" x14ac:dyDescent="0.25">
      <c r="A173" s="2">
        <v>171</v>
      </c>
      <c r="B173" s="3">
        <v>4</v>
      </c>
      <c r="C173" s="2">
        <v>2</v>
      </c>
      <c r="D173" s="9">
        <v>81</v>
      </c>
      <c r="E173" s="3" t="s">
        <v>53</v>
      </c>
      <c r="F173" s="3">
        <f t="shared" ref="F173:F180" si="23">IF(E273="Happy", 1,2)</f>
        <v>1</v>
      </c>
      <c r="G173" s="11"/>
      <c r="H173" s="3" t="s">
        <v>54</v>
      </c>
      <c r="I173" s="3">
        <f t="shared" si="17"/>
        <v>1</v>
      </c>
      <c r="J173" s="3" t="s">
        <v>57</v>
      </c>
      <c r="K173" s="3">
        <v>3</v>
      </c>
      <c r="L173" s="6" t="s">
        <v>163</v>
      </c>
      <c r="M173" s="3">
        <v>-40</v>
      </c>
      <c r="N173" s="3">
        <f t="shared" si="18"/>
        <v>-0.4</v>
      </c>
      <c r="O173" s="3">
        <v>2</v>
      </c>
      <c r="P173" s="3">
        <v>0.02</v>
      </c>
      <c r="Q173" s="17">
        <v>-0.18263888888888891</v>
      </c>
      <c r="R173" s="21">
        <v>0.57072332678868198</v>
      </c>
      <c r="S173" s="3">
        <v>4</v>
      </c>
      <c r="T173" s="3">
        <v>70.510000000000005</v>
      </c>
      <c r="U173" s="3">
        <v>106.03</v>
      </c>
      <c r="V173" s="26">
        <v>0.141715023790183</v>
      </c>
      <c r="W173" s="18">
        <v>-1.11973435006844</v>
      </c>
      <c r="X173" s="18">
        <v>-0.59406043559824395</v>
      </c>
      <c r="Y173" s="18">
        <v>-1.01897200386126</v>
      </c>
      <c r="Z173" s="18">
        <v>0.55604328068410402</v>
      </c>
      <c r="AA173" s="18">
        <v>0.57333752105562896</v>
      </c>
      <c r="AB173" s="18">
        <v>0.48226148020673398</v>
      </c>
      <c r="AC173" s="18">
        <v>0.90767543343500601</v>
      </c>
      <c r="AD173" s="18">
        <v>9.3785267077748299E-3</v>
      </c>
      <c r="AE173" s="21">
        <v>-0.28503731826707102</v>
      </c>
      <c r="AF173" s="3">
        <v>0</v>
      </c>
      <c r="AG173" s="3">
        <v>0.36050900000000002</v>
      </c>
      <c r="AH173" s="3">
        <v>-0.14233699999999999</v>
      </c>
      <c r="AI173" s="3">
        <v>59.6282</v>
      </c>
      <c r="AJ173" s="3">
        <v>0.52545600000000003</v>
      </c>
      <c r="AK173" s="3">
        <v>-1.2203999999999999</v>
      </c>
      <c r="AL173" s="3">
        <v>0</v>
      </c>
      <c r="AM173" s="3">
        <v>0.26083699999999999</v>
      </c>
      <c r="AN173" s="3">
        <v>0.98700600000000005</v>
      </c>
      <c r="AO173" s="3">
        <v>59.831000000000003</v>
      </c>
      <c r="AP173" s="3">
        <v>0.59124100000000002</v>
      </c>
      <c r="AQ173" s="3">
        <v>0.6139</v>
      </c>
      <c r="AR173" s="3">
        <v>2.0281699999999998</v>
      </c>
      <c r="AS173" s="3">
        <v>0.101897</v>
      </c>
      <c r="AT173" s="3">
        <v>2.5888200000000001</v>
      </c>
      <c r="AU173" s="3">
        <v>1.08169</v>
      </c>
      <c r="AV173" s="3">
        <v>9.0687599999999993E-2</v>
      </c>
      <c r="AW173" s="3">
        <v>1.44174</v>
      </c>
      <c r="AX173" s="3">
        <v>0</v>
      </c>
      <c r="AY173" s="3">
        <v>0</v>
      </c>
      <c r="AZ173" s="21">
        <v>-0.616317</v>
      </c>
      <c r="BA173" s="3">
        <v>35.517000000000003</v>
      </c>
      <c r="BB173" s="3">
        <v>3</v>
      </c>
    </row>
    <row r="174" spans="1:54" s="3" customFormat="1" ht="78.75" customHeight="1" x14ac:dyDescent="0.25">
      <c r="A174" s="2">
        <v>172</v>
      </c>
      <c r="B174" s="3">
        <v>4</v>
      </c>
      <c r="C174" s="2">
        <v>2</v>
      </c>
      <c r="D174" s="9">
        <v>81</v>
      </c>
      <c r="E174" s="3" t="s">
        <v>53</v>
      </c>
      <c r="F174" s="3">
        <f t="shared" si="23"/>
        <v>1</v>
      </c>
      <c r="G174" s="11"/>
      <c r="H174" s="3" t="s">
        <v>54</v>
      </c>
      <c r="I174" s="3">
        <f t="shared" si="17"/>
        <v>1</v>
      </c>
      <c r="J174" s="3" t="s">
        <v>58</v>
      </c>
      <c r="K174" s="3">
        <v>4</v>
      </c>
      <c r="L174" s="6" t="s">
        <v>156</v>
      </c>
      <c r="M174" s="3">
        <v>-40</v>
      </c>
      <c r="N174" s="3">
        <f t="shared" si="18"/>
        <v>-0.4</v>
      </c>
      <c r="O174" s="3">
        <v>2</v>
      </c>
      <c r="P174" s="3">
        <v>0.02</v>
      </c>
      <c r="Q174" s="17">
        <v>-0.2986111111111111</v>
      </c>
      <c r="R174" s="21">
        <v>0.31280170620923309</v>
      </c>
      <c r="S174" s="3">
        <v>5</v>
      </c>
      <c r="T174" s="3">
        <v>106.03</v>
      </c>
      <c r="U174" s="3">
        <v>139.65</v>
      </c>
      <c r="V174" s="26">
        <v>0.44170833049981301</v>
      </c>
      <c r="W174" s="18">
        <v>0.177192844712736</v>
      </c>
      <c r="X174" s="18">
        <v>0.82286710860380297</v>
      </c>
      <c r="Y174" s="18">
        <v>-0.88795206131732896</v>
      </c>
      <c r="Z174" s="18">
        <v>1.01797579029633</v>
      </c>
      <c r="AA174" s="18">
        <v>0.80509585136082096</v>
      </c>
      <c r="AB174" s="18">
        <v>-0.38636371005064002</v>
      </c>
      <c r="AC174" s="18">
        <v>0.14728229047654801</v>
      </c>
      <c r="AD174" s="18">
        <v>0.49780533531205701</v>
      </c>
      <c r="AE174" s="21">
        <v>-1.33099258326276</v>
      </c>
      <c r="AF174" s="3">
        <v>0</v>
      </c>
      <c r="AG174" s="3">
        <v>0.21624699999999999</v>
      </c>
      <c r="AH174" s="3">
        <v>-0.46696599999999999</v>
      </c>
      <c r="AI174" s="3">
        <v>60</v>
      </c>
      <c r="AJ174" s="3">
        <v>0.54785700000000004</v>
      </c>
      <c r="AK174" s="3">
        <v>0.17122799999999999</v>
      </c>
      <c r="AL174" s="3">
        <v>0</v>
      </c>
      <c r="AM174" s="3">
        <v>0.114664</v>
      </c>
      <c r="AN174" s="3">
        <v>-0.22478400000000001</v>
      </c>
      <c r="AO174" s="3">
        <v>58.785699999999999</v>
      </c>
      <c r="AP174" s="3">
        <v>0.56233699999999998</v>
      </c>
      <c r="AQ174" s="3">
        <v>0.26586900000000002</v>
      </c>
      <c r="AR174" s="3">
        <v>2.2142900000000001</v>
      </c>
      <c r="AS174" s="3">
        <v>9.6194199999999994E-2</v>
      </c>
      <c r="AT174" s="3">
        <v>2.6885300000000001</v>
      </c>
      <c r="AU174" s="3">
        <v>0.214286</v>
      </c>
      <c r="AV174" s="3">
        <v>4.2269000000000001E-2</v>
      </c>
      <c r="AW174" s="3">
        <v>1.42241</v>
      </c>
      <c r="AX174" s="3">
        <v>0.25</v>
      </c>
      <c r="AY174" s="3">
        <v>0.33345200000000003</v>
      </c>
      <c r="AZ174" s="21">
        <v>4.8157100000000002</v>
      </c>
      <c r="BA174" s="3">
        <v>33.622</v>
      </c>
      <c r="BB174" s="3">
        <v>4</v>
      </c>
    </row>
    <row r="175" spans="1:54" s="3" customFormat="1" ht="141.75" customHeight="1" x14ac:dyDescent="0.25">
      <c r="A175" s="2">
        <v>173</v>
      </c>
      <c r="B175" s="3">
        <v>4</v>
      </c>
      <c r="C175" s="2">
        <v>2</v>
      </c>
      <c r="D175" s="9">
        <v>81</v>
      </c>
      <c r="E175" s="3" t="s">
        <v>53</v>
      </c>
      <c r="F175" s="3">
        <f t="shared" si="23"/>
        <v>2</v>
      </c>
      <c r="G175" s="11"/>
      <c r="H175" s="3" t="s">
        <v>54</v>
      </c>
      <c r="I175" s="3">
        <f t="shared" si="17"/>
        <v>1</v>
      </c>
      <c r="J175" s="3" t="s">
        <v>59</v>
      </c>
      <c r="K175" s="3">
        <v>5</v>
      </c>
      <c r="L175" s="6" t="s">
        <v>225</v>
      </c>
      <c r="M175" s="3">
        <v>-40</v>
      </c>
      <c r="N175" s="3">
        <f t="shared" si="18"/>
        <v>-0.4</v>
      </c>
      <c r="O175" s="3">
        <v>2</v>
      </c>
      <c r="P175" s="3">
        <v>0.02</v>
      </c>
      <c r="Q175" s="17">
        <v>0.20046296296296301</v>
      </c>
      <c r="R175" s="21">
        <v>0.35572234586216112</v>
      </c>
      <c r="S175" s="3">
        <v>6</v>
      </c>
      <c r="T175" s="3">
        <v>139.65</v>
      </c>
      <c r="U175" s="3">
        <v>205.19</v>
      </c>
      <c r="V175" s="26">
        <v>-0.849016900466255</v>
      </c>
      <c r="W175" s="18">
        <v>-1.03485647509228</v>
      </c>
      <c r="X175" s="18">
        <v>-0.64030497229975603</v>
      </c>
      <c r="Y175" s="18">
        <v>-2.2358675906776</v>
      </c>
      <c r="Z175" s="18">
        <v>-0.47811596889186297</v>
      </c>
      <c r="AA175" s="18">
        <v>-0.59505625541780005</v>
      </c>
      <c r="AB175" s="18">
        <v>1.1633522403416099</v>
      </c>
      <c r="AC175" s="18">
        <v>-0.249740907975711</v>
      </c>
      <c r="AD175" s="18">
        <v>-8.17189918622548E-2</v>
      </c>
      <c r="AE175" s="21">
        <v>-0.47253250021252002</v>
      </c>
      <c r="AF175" s="3">
        <v>0.10989</v>
      </c>
      <c r="AG175" s="3">
        <v>7.3416599999999999E-2</v>
      </c>
      <c r="AH175" s="3">
        <v>3.2648700000000002</v>
      </c>
      <c r="AI175" s="3">
        <v>59.9634</v>
      </c>
      <c r="AJ175" s="3">
        <v>0.55472500000000002</v>
      </c>
      <c r="AK175" s="3">
        <v>-0.113279</v>
      </c>
      <c r="AL175" s="3">
        <v>0</v>
      </c>
      <c r="AM175" s="3">
        <v>8.1289100000000003E-2</v>
      </c>
      <c r="AN175" s="3">
        <v>-0.33607700000000001</v>
      </c>
      <c r="AO175" s="3">
        <v>57.216099999999997</v>
      </c>
      <c r="AP175" s="3">
        <v>0.32706499999999999</v>
      </c>
      <c r="AQ175" s="3">
        <v>1.5317900000000001E-2</v>
      </c>
      <c r="AR175" s="3">
        <v>0</v>
      </c>
      <c r="AS175" s="3">
        <v>0.13494300000000001</v>
      </c>
      <c r="AT175" s="3">
        <v>-0.53525599999999995</v>
      </c>
      <c r="AU175" s="3">
        <v>0.54945100000000002</v>
      </c>
      <c r="AV175" s="3">
        <v>0.130499</v>
      </c>
      <c r="AW175" s="3">
        <v>1.36686</v>
      </c>
      <c r="AX175" s="3">
        <v>0.769231</v>
      </c>
      <c r="AY175" s="3">
        <v>0.67672900000000002</v>
      </c>
      <c r="AZ175" s="21">
        <v>7.5482500000000003</v>
      </c>
      <c r="BA175" s="3">
        <v>65.533000000000001</v>
      </c>
      <c r="BB175" s="3">
        <v>5</v>
      </c>
    </row>
    <row r="176" spans="1:54" s="3" customFormat="1" ht="31.5" customHeight="1" x14ac:dyDescent="0.25">
      <c r="A176" s="2">
        <v>174</v>
      </c>
      <c r="B176" s="3">
        <v>4</v>
      </c>
      <c r="C176" s="2">
        <v>2</v>
      </c>
      <c r="D176" s="9">
        <v>81</v>
      </c>
      <c r="E176" s="3" t="s">
        <v>53</v>
      </c>
      <c r="F176" s="3">
        <f t="shared" si="23"/>
        <v>2</v>
      </c>
      <c r="G176" s="11"/>
      <c r="H176" s="3" t="s">
        <v>54</v>
      </c>
      <c r="I176" s="3">
        <f t="shared" si="17"/>
        <v>1</v>
      </c>
      <c r="J176" s="3" t="s">
        <v>60</v>
      </c>
      <c r="K176" s="3">
        <v>6</v>
      </c>
      <c r="L176" s="6" t="s">
        <v>145</v>
      </c>
      <c r="M176" s="3">
        <v>-40</v>
      </c>
      <c r="N176" s="3">
        <f t="shared" si="18"/>
        <v>-0.4</v>
      </c>
      <c r="O176" s="3">
        <v>2</v>
      </c>
      <c r="P176" s="3">
        <v>0.02</v>
      </c>
      <c r="Q176" s="17">
        <v>-0.46666666666666667</v>
      </c>
      <c r="R176" s="21">
        <v>0</v>
      </c>
      <c r="S176" s="3">
        <v>7</v>
      </c>
      <c r="T176" s="3">
        <v>205.19</v>
      </c>
      <c r="U176" s="3">
        <v>215.41</v>
      </c>
      <c r="V176" s="26">
        <v>1.82239744060619</v>
      </c>
      <c r="W176" s="18">
        <v>-5.0828750867362001E-2</v>
      </c>
      <c r="X176" s="18">
        <v>0.92962861922308604</v>
      </c>
      <c r="Y176" s="18">
        <v>-0.406694575285728</v>
      </c>
      <c r="Z176" s="18">
        <v>0.51718688880972197</v>
      </c>
      <c r="AA176" s="18">
        <v>5.8699688189642003E-2</v>
      </c>
      <c r="AB176" s="18">
        <v>-1.38909362970089</v>
      </c>
      <c r="AC176" s="18">
        <v>0.897877650640583</v>
      </c>
      <c r="AD176" s="18">
        <v>0.10407877200091301</v>
      </c>
      <c r="AE176" s="21">
        <v>-0.30646533906083601</v>
      </c>
      <c r="AF176" s="3">
        <v>0</v>
      </c>
      <c r="AG176" s="3">
        <v>0.41043000000000002</v>
      </c>
      <c r="AH176" s="3">
        <v>5.5126300000000003E-2</v>
      </c>
      <c r="AI176" s="3">
        <v>60</v>
      </c>
      <c r="AJ176" s="3">
        <v>0.52533399999999997</v>
      </c>
      <c r="AK176" s="3">
        <v>0.36248000000000002</v>
      </c>
      <c r="AL176" s="3">
        <v>0</v>
      </c>
      <c r="AM176" s="3">
        <v>0.29138900000000001</v>
      </c>
      <c r="AN176" s="3">
        <v>0.28817599999999999</v>
      </c>
      <c r="AO176" s="3">
        <v>54.7059</v>
      </c>
      <c r="AP176" s="3">
        <v>0.40484500000000001</v>
      </c>
      <c r="AQ176" s="3">
        <v>-0.81741600000000003</v>
      </c>
      <c r="AR176" s="3">
        <v>0</v>
      </c>
      <c r="AS176" s="3">
        <v>0.38866000000000001</v>
      </c>
      <c r="AT176" s="3">
        <v>-0.17450099999999999</v>
      </c>
      <c r="AU176" s="3">
        <v>2</v>
      </c>
      <c r="AV176" s="3">
        <v>0.15</v>
      </c>
      <c r="AW176" s="3">
        <v>1.62049</v>
      </c>
      <c r="AX176" s="3">
        <v>1.76471</v>
      </c>
      <c r="AY176" s="3">
        <v>1.0982000000000001</v>
      </c>
      <c r="AZ176" s="21">
        <v>8.2774199999999993</v>
      </c>
      <c r="BA176" s="3">
        <v>10.228999999999999</v>
      </c>
      <c r="BB176" s="3">
        <v>6</v>
      </c>
    </row>
    <row r="177" spans="1:54" s="3" customFormat="1" ht="47.25" customHeight="1" x14ac:dyDescent="0.25">
      <c r="A177" s="2">
        <v>175</v>
      </c>
      <c r="B177" s="3">
        <v>4</v>
      </c>
      <c r="C177" s="2">
        <v>2</v>
      </c>
      <c r="D177" s="9">
        <v>81</v>
      </c>
      <c r="E177" s="3" t="s">
        <v>53</v>
      </c>
      <c r="F177" s="3">
        <f t="shared" si="23"/>
        <v>2</v>
      </c>
      <c r="G177" s="11"/>
      <c r="H177" s="3" t="s">
        <v>54</v>
      </c>
      <c r="I177" s="3">
        <f t="shared" si="17"/>
        <v>1</v>
      </c>
      <c r="J177" s="3" t="s">
        <v>61</v>
      </c>
      <c r="K177" s="3">
        <v>7</v>
      </c>
      <c r="L177" s="6" t="s">
        <v>174</v>
      </c>
      <c r="M177" s="3">
        <v>-40</v>
      </c>
      <c r="N177" s="3">
        <f t="shared" si="18"/>
        <v>-0.4</v>
      </c>
      <c r="O177" s="3">
        <v>2</v>
      </c>
      <c r="P177" s="3">
        <v>0.02</v>
      </c>
      <c r="Q177" s="17">
        <v>0.185</v>
      </c>
      <c r="R177" s="21">
        <v>2.121320343559642E-2</v>
      </c>
      <c r="S177" s="3">
        <v>8</v>
      </c>
      <c r="T177" s="3">
        <v>215.41</v>
      </c>
      <c r="U177" s="3">
        <v>232.9</v>
      </c>
      <c r="V177" s="26">
        <v>0.886199060242854</v>
      </c>
      <c r="W177" s="18">
        <v>-0.87799048838848903</v>
      </c>
      <c r="X177" s="18">
        <v>-0.103645231911128</v>
      </c>
      <c r="Y177" s="18">
        <v>-1.53370978521963</v>
      </c>
      <c r="Z177" s="18">
        <v>1.33763598307658</v>
      </c>
      <c r="AA177" s="18">
        <v>1.0477185577803001</v>
      </c>
      <c r="AB177" s="18">
        <v>2.42071139301629</v>
      </c>
      <c r="AC177" s="18">
        <v>-1.06423485158163</v>
      </c>
      <c r="AD177" s="18">
        <v>-1.00401703297803</v>
      </c>
      <c r="AE177" s="21">
        <v>-2.1586498864219599</v>
      </c>
      <c r="AF177" s="3">
        <v>0</v>
      </c>
      <c r="AG177" s="3">
        <v>0.36515700000000001</v>
      </c>
      <c r="AH177" s="3">
        <v>-0.2452</v>
      </c>
      <c r="AI177" s="3">
        <v>59.725099999999998</v>
      </c>
      <c r="AJ177" s="3">
        <v>0.46471400000000002</v>
      </c>
      <c r="AK177" s="3">
        <v>0.38044099999999997</v>
      </c>
      <c r="AL177" s="3">
        <v>0</v>
      </c>
      <c r="AM177" s="3">
        <v>0.13613500000000001</v>
      </c>
      <c r="AN177" s="3">
        <v>-0.154312</v>
      </c>
      <c r="AO177" s="3">
        <v>57.938099999999999</v>
      </c>
      <c r="AP177" s="3">
        <v>0.33732600000000001</v>
      </c>
      <c r="AQ177" s="3">
        <v>-0.27197900000000003</v>
      </c>
      <c r="AR177" s="3">
        <v>0.89347100000000002</v>
      </c>
      <c r="AS177" s="3">
        <v>8.3704299999999995E-2</v>
      </c>
      <c r="AT177" s="3">
        <v>2.3164099999999999</v>
      </c>
      <c r="AU177" s="3">
        <v>3.9862500000000001</v>
      </c>
      <c r="AV177" s="3">
        <v>0.25018000000000001</v>
      </c>
      <c r="AW177" s="3">
        <v>1.84514</v>
      </c>
      <c r="AX177" s="3">
        <v>0</v>
      </c>
      <c r="AY177" s="3">
        <v>0.10334400000000001</v>
      </c>
      <c r="AZ177" s="21">
        <v>7.0855899999999999E-4</v>
      </c>
      <c r="BA177" s="3">
        <v>17.486000000000001</v>
      </c>
      <c r="BB177" s="3">
        <v>7</v>
      </c>
    </row>
    <row r="178" spans="1:54" s="3" customFormat="1" ht="126" customHeight="1" x14ac:dyDescent="0.25">
      <c r="A178" s="2">
        <v>176</v>
      </c>
      <c r="B178" s="3">
        <v>4</v>
      </c>
      <c r="C178" s="2">
        <v>2</v>
      </c>
      <c r="D178" s="9">
        <v>81</v>
      </c>
      <c r="E178" s="3" t="s">
        <v>53</v>
      </c>
      <c r="F178" s="3">
        <f t="shared" si="23"/>
        <v>2</v>
      </c>
      <c r="G178" s="11"/>
      <c r="H178" s="3" t="s">
        <v>54</v>
      </c>
      <c r="I178" s="3">
        <f t="shared" si="17"/>
        <v>1</v>
      </c>
      <c r="J178" s="3" t="s">
        <v>62</v>
      </c>
      <c r="K178" s="3">
        <v>8</v>
      </c>
      <c r="L178" s="6" t="s">
        <v>200</v>
      </c>
      <c r="M178" s="3">
        <v>-40</v>
      </c>
      <c r="N178" s="3">
        <f t="shared" si="18"/>
        <v>-0.4</v>
      </c>
      <c r="O178" s="3">
        <v>2</v>
      </c>
      <c r="P178" s="3">
        <v>0.02</v>
      </c>
      <c r="Q178" s="17">
        <v>0.17083333333333331</v>
      </c>
      <c r="R178" s="21">
        <v>0.27831693707052302</v>
      </c>
      <c r="S178" s="3">
        <v>9</v>
      </c>
      <c r="T178" s="3">
        <v>232.9</v>
      </c>
      <c r="U178" s="3">
        <v>292.23</v>
      </c>
      <c r="V178" s="26">
        <v>0.58935825348217896</v>
      </c>
      <c r="W178" s="18">
        <v>-0.36557095245406901</v>
      </c>
      <c r="X178" s="18">
        <v>0.360387239323048</v>
      </c>
      <c r="Y178" s="18">
        <v>-2.32325290222373</v>
      </c>
      <c r="Z178" s="18">
        <v>0.35753780045627798</v>
      </c>
      <c r="AA178" s="18">
        <v>-3.5743747326671703E-2</v>
      </c>
      <c r="AB178" s="18">
        <v>0.71626574535619403</v>
      </c>
      <c r="AC178" s="18">
        <v>-1.23548305520589</v>
      </c>
      <c r="AD178" s="18">
        <v>0.76595113856056196</v>
      </c>
      <c r="AE178" s="21">
        <v>-1.79571278422755</v>
      </c>
      <c r="AF178" s="3">
        <v>1.15307</v>
      </c>
      <c r="AG178" s="3">
        <v>0.20888599999999999</v>
      </c>
      <c r="AH178" s="3">
        <v>3.9262299999999999</v>
      </c>
      <c r="AI178" s="3">
        <v>60</v>
      </c>
      <c r="AJ178" s="3">
        <v>0.59296899999999997</v>
      </c>
      <c r="AK178" s="3">
        <v>0.15934499999999999</v>
      </c>
      <c r="AL178" s="3">
        <v>0</v>
      </c>
      <c r="AM178" s="3">
        <v>0.171156</v>
      </c>
      <c r="AN178" s="3">
        <v>-0.19233900000000001</v>
      </c>
      <c r="AO178" s="3">
        <v>59.089700000000001</v>
      </c>
      <c r="AP178" s="3">
        <v>0.47544700000000001</v>
      </c>
      <c r="AQ178" s="3">
        <v>0.82286099999999995</v>
      </c>
      <c r="AR178" s="3">
        <v>0.97100500000000001</v>
      </c>
      <c r="AS178" s="3">
        <v>8.94427E-2</v>
      </c>
      <c r="AT178" s="3">
        <v>2.4450500000000002</v>
      </c>
      <c r="AU178" s="3">
        <v>3.8233299999999999</v>
      </c>
      <c r="AV178" s="3">
        <v>0.173094</v>
      </c>
      <c r="AW178" s="3">
        <v>1.4859100000000001</v>
      </c>
      <c r="AX178" s="3">
        <v>0.121376</v>
      </c>
      <c r="AY178" s="3">
        <v>0.203904</v>
      </c>
      <c r="AZ178" s="21">
        <v>4.6840999999999999</v>
      </c>
      <c r="BA178" s="3">
        <v>59.328000000000003</v>
      </c>
      <c r="BB178" s="3">
        <v>8</v>
      </c>
    </row>
    <row r="179" spans="1:54" s="3" customFormat="1" ht="94.5" customHeight="1" x14ac:dyDescent="0.25">
      <c r="A179" s="2">
        <v>177</v>
      </c>
      <c r="B179" s="3">
        <v>4</v>
      </c>
      <c r="C179" s="2">
        <v>2</v>
      </c>
      <c r="D179" s="9">
        <v>81</v>
      </c>
      <c r="E179" s="3" t="s">
        <v>53</v>
      </c>
      <c r="F179" s="3">
        <f t="shared" si="23"/>
        <v>2</v>
      </c>
      <c r="G179" s="11"/>
      <c r="H179" s="3" t="s">
        <v>54</v>
      </c>
      <c r="I179" s="3">
        <f t="shared" si="17"/>
        <v>1</v>
      </c>
      <c r="J179" s="3" t="s">
        <v>63</v>
      </c>
      <c r="K179" s="3">
        <v>9</v>
      </c>
      <c r="L179" s="6" t="s">
        <v>170</v>
      </c>
      <c r="M179" s="3">
        <v>-40</v>
      </c>
      <c r="N179" s="3">
        <f t="shared" si="18"/>
        <v>-0.4</v>
      </c>
      <c r="O179" s="3">
        <v>2</v>
      </c>
      <c r="P179" s="3">
        <v>0.02</v>
      </c>
      <c r="Q179" s="17">
        <v>-0.1012222222222222</v>
      </c>
      <c r="R179" s="21">
        <v>0.15234488164347029</v>
      </c>
      <c r="S179" s="3">
        <v>10</v>
      </c>
      <c r="T179" s="3">
        <v>292.23</v>
      </c>
      <c r="U179" s="3">
        <v>329.87</v>
      </c>
      <c r="V179" s="26">
        <v>-9.07936105047078E-2</v>
      </c>
      <c r="W179" s="18">
        <v>-0.62423613613444195</v>
      </c>
      <c r="X179" s="18">
        <v>-0.48115177131893599</v>
      </c>
      <c r="Y179" s="18">
        <v>-1.63879265322098</v>
      </c>
      <c r="Z179" s="18">
        <v>-0.46230793368831002</v>
      </c>
      <c r="AA179" s="18">
        <v>-0.81229869730473203</v>
      </c>
      <c r="AB179" s="18">
        <v>0.68668631611985598</v>
      </c>
      <c r="AC179" s="18">
        <v>-0.17221062673288701</v>
      </c>
      <c r="AD179" s="18">
        <v>1.8251527951544599</v>
      </c>
      <c r="AE179" s="21">
        <v>-1.50107749831327</v>
      </c>
      <c r="AF179" s="3">
        <v>0</v>
      </c>
      <c r="AG179" s="3">
        <v>0.42072500000000002</v>
      </c>
      <c r="AH179" s="3">
        <v>-7.2488200000000003E-2</v>
      </c>
      <c r="AI179" s="3">
        <v>59.744799999999998</v>
      </c>
      <c r="AJ179" s="3">
        <v>0.56195499999999998</v>
      </c>
      <c r="AK179" s="3">
        <v>0.60220499999999999</v>
      </c>
      <c r="AL179" s="3">
        <v>0</v>
      </c>
      <c r="AM179" s="3">
        <v>0.195803</v>
      </c>
      <c r="AN179" s="3">
        <v>-0.13264000000000001</v>
      </c>
      <c r="AO179" s="3">
        <v>54.736800000000002</v>
      </c>
      <c r="AP179" s="3">
        <v>0.41886800000000002</v>
      </c>
      <c r="AQ179" s="3">
        <v>7.90579E-2</v>
      </c>
      <c r="AR179" s="3">
        <v>1.11643</v>
      </c>
      <c r="AS179" s="3">
        <v>0.128857</v>
      </c>
      <c r="AT179" s="3">
        <v>2.6079400000000001</v>
      </c>
      <c r="AU179" s="3">
        <v>4.40191</v>
      </c>
      <c r="AV179" s="3">
        <v>0.18323900000000001</v>
      </c>
      <c r="AW179" s="3">
        <v>1.7171099999999999</v>
      </c>
      <c r="AX179" s="3">
        <v>0</v>
      </c>
      <c r="AY179" s="3">
        <v>5.6279000000000003E-2</v>
      </c>
      <c r="AZ179" s="21">
        <v>-0.55347199999999996</v>
      </c>
      <c r="BA179" s="3">
        <v>37.642000000000003</v>
      </c>
      <c r="BB179" s="3">
        <v>9</v>
      </c>
    </row>
    <row r="180" spans="1:54" s="3" customFormat="1" ht="63" customHeight="1" x14ac:dyDescent="0.25">
      <c r="A180" s="2">
        <v>178</v>
      </c>
      <c r="B180" s="3">
        <v>4</v>
      </c>
      <c r="C180" s="2">
        <v>2</v>
      </c>
      <c r="D180" s="9">
        <v>81</v>
      </c>
      <c r="E180" s="3" t="s">
        <v>53</v>
      </c>
      <c r="F180" s="3">
        <f t="shared" si="23"/>
        <v>2</v>
      </c>
      <c r="G180" s="11"/>
      <c r="H180" s="3" t="s">
        <v>54</v>
      </c>
      <c r="I180" s="3">
        <f t="shared" si="17"/>
        <v>1</v>
      </c>
      <c r="J180" s="3" t="s">
        <v>64</v>
      </c>
      <c r="K180" s="3">
        <v>10</v>
      </c>
      <c r="L180" s="6" t="s">
        <v>223</v>
      </c>
      <c r="M180" s="3">
        <v>-40</v>
      </c>
      <c r="N180" s="3">
        <f t="shared" si="18"/>
        <v>-0.4</v>
      </c>
      <c r="O180" s="3">
        <v>2</v>
      </c>
      <c r="P180" s="3">
        <v>0.02</v>
      </c>
      <c r="Q180" s="17">
        <v>0</v>
      </c>
      <c r="R180" s="21">
        <v>0.21213203435596431</v>
      </c>
      <c r="S180" s="3">
        <v>11</v>
      </c>
      <c r="T180" s="3">
        <v>329.87</v>
      </c>
      <c r="U180" s="3">
        <v>356.67</v>
      </c>
      <c r="V180" s="26">
        <v>-0.65524402114116598</v>
      </c>
      <c r="W180" s="18">
        <v>0.368182094356025</v>
      </c>
      <c r="X180" s="18">
        <v>-0.67554328626479898</v>
      </c>
      <c r="Y180" s="18">
        <v>-1.066784418678</v>
      </c>
      <c r="Z180" s="18">
        <v>-0.798258849769931</v>
      </c>
      <c r="AA180" s="18">
        <v>-1.24583689270349</v>
      </c>
      <c r="AB180" s="18">
        <v>-0.65423366319235099</v>
      </c>
      <c r="AC180" s="18">
        <v>-0.41545123436833897</v>
      </c>
      <c r="AD180" s="18">
        <v>-0.53051580651234298</v>
      </c>
      <c r="AE180" s="21">
        <v>-1.92562016028975</v>
      </c>
      <c r="AF180" s="3">
        <v>0.98580999999999996</v>
      </c>
      <c r="AG180" s="3">
        <v>0.112842</v>
      </c>
      <c r="AH180" s="3">
        <v>3.4234399999999998</v>
      </c>
      <c r="AI180" s="3">
        <v>60</v>
      </c>
      <c r="AJ180" s="3">
        <v>0.53100000000000003</v>
      </c>
      <c r="AK180" s="3">
        <v>0.67700800000000005</v>
      </c>
      <c r="AL180" s="3">
        <v>0</v>
      </c>
      <c r="AM180" s="3">
        <v>0.22558400000000001</v>
      </c>
      <c r="AN180" s="3">
        <v>-8.3391199999999999E-2</v>
      </c>
      <c r="AO180" s="3">
        <v>58.521299999999997</v>
      </c>
      <c r="AP180" s="3">
        <v>0.32138699999999998</v>
      </c>
      <c r="AQ180" s="3">
        <v>-0.34838200000000002</v>
      </c>
      <c r="AR180" s="3">
        <v>1.7475700000000001</v>
      </c>
      <c r="AS180" s="3">
        <v>0.56090499999999999</v>
      </c>
      <c r="AT180" s="3">
        <v>3.9702899999999999</v>
      </c>
      <c r="AU180" s="3">
        <v>5.82524</v>
      </c>
      <c r="AV180" s="3">
        <v>0.12083000000000001</v>
      </c>
      <c r="AW180" s="3">
        <v>1.46106</v>
      </c>
      <c r="AX180" s="3">
        <v>0</v>
      </c>
      <c r="AY180" s="3">
        <v>0.13197200000000001</v>
      </c>
      <c r="AZ180" s="21">
        <v>0.364925</v>
      </c>
      <c r="BA180" s="3">
        <v>26.8</v>
      </c>
      <c r="BB180" s="3">
        <v>10</v>
      </c>
    </row>
    <row r="181" spans="1:54" s="3" customFormat="1" ht="126" customHeight="1" x14ac:dyDescent="0.25">
      <c r="A181" s="2">
        <v>179</v>
      </c>
      <c r="B181" s="3">
        <v>4</v>
      </c>
      <c r="C181" s="2">
        <v>2</v>
      </c>
      <c r="D181" s="9">
        <v>81</v>
      </c>
      <c r="E181" s="3" t="s">
        <v>53</v>
      </c>
      <c r="F181" s="3">
        <f>IF(E282="Happy", 1,2)</f>
        <v>2</v>
      </c>
      <c r="G181" s="11"/>
      <c r="H181" s="3" t="s">
        <v>54</v>
      </c>
      <c r="I181" s="3">
        <f t="shared" si="17"/>
        <v>1</v>
      </c>
      <c r="J181" s="3" t="s">
        <v>65</v>
      </c>
      <c r="K181" s="3">
        <v>11</v>
      </c>
      <c r="L181" s="6" t="s">
        <v>196</v>
      </c>
      <c r="M181" s="3">
        <v>-40</v>
      </c>
      <c r="N181" s="3">
        <f t="shared" si="18"/>
        <v>-0.4</v>
      </c>
      <c r="O181" s="3">
        <v>2</v>
      </c>
      <c r="P181" s="3">
        <v>0.02</v>
      </c>
      <c r="Q181" s="17">
        <v>-0.1127083333333333</v>
      </c>
      <c r="R181" s="21">
        <v>0.28543747751728149</v>
      </c>
      <c r="S181" s="3">
        <v>12</v>
      </c>
      <c r="T181" s="3">
        <v>356.67</v>
      </c>
      <c r="U181" s="3">
        <v>421.63</v>
      </c>
      <c r="V181" s="26">
        <v>-2.1241207884016799</v>
      </c>
      <c r="W181" s="18">
        <v>-0.55306181932888898</v>
      </c>
      <c r="X181" s="18">
        <v>-0.83348315757090896</v>
      </c>
      <c r="Y181" s="18">
        <v>-0.79488032179542101</v>
      </c>
      <c r="Z181" s="18">
        <v>0.51103261556253599</v>
      </c>
      <c r="AA181" s="18">
        <v>0.13371347181692</v>
      </c>
      <c r="AB181" s="18">
        <v>0.19346949175151401</v>
      </c>
      <c r="AC181" s="18">
        <v>-0.59692321134329696</v>
      </c>
      <c r="AD181" s="18">
        <v>-0.74256200792958704</v>
      </c>
      <c r="AE181" s="21">
        <v>-1.06983857983874</v>
      </c>
      <c r="AF181" s="3">
        <v>2.69787</v>
      </c>
      <c r="AG181" s="3">
        <v>8.9482599999999995E-2</v>
      </c>
      <c r="AH181" s="3">
        <v>3.1123799999999999</v>
      </c>
      <c r="AI181" s="3">
        <v>60</v>
      </c>
      <c r="AJ181" s="3">
        <v>0.41592499999999999</v>
      </c>
      <c r="AK181" s="3">
        <v>0.55488099999999996</v>
      </c>
      <c r="AL181" s="3">
        <v>0</v>
      </c>
      <c r="AM181" s="3">
        <v>0.10514800000000001</v>
      </c>
      <c r="AN181" s="3">
        <v>-0.32685999999999998</v>
      </c>
      <c r="AO181" s="3">
        <v>58.725000000000001</v>
      </c>
      <c r="AP181" s="3">
        <v>0.40047700000000003</v>
      </c>
      <c r="AQ181" s="3">
        <v>-0.52505199999999996</v>
      </c>
      <c r="AR181" s="3">
        <v>0</v>
      </c>
      <c r="AS181" s="3">
        <v>0.24352599999999999</v>
      </c>
      <c r="AT181" s="3">
        <v>-0.35086499999999998</v>
      </c>
      <c r="AU181" s="3">
        <v>1.5522</v>
      </c>
      <c r="AV181" s="3">
        <v>0.11741699999999999</v>
      </c>
      <c r="AW181" s="3">
        <v>1.56735</v>
      </c>
      <c r="AX181" s="3">
        <v>0.44348599999999999</v>
      </c>
      <c r="AY181" s="3">
        <v>0.81410099999999996</v>
      </c>
      <c r="AZ181" s="21">
        <v>7.5849799999999998</v>
      </c>
      <c r="BA181" s="3">
        <v>64.959999999999994</v>
      </c>
      <c r="BB181" s="3">
        <v>11</v>
      </c>
    </row>
    <row r="182" spans="1:54" s="3" customFormat="1" ht="47.25" customHeight="1" x14ac:dyDescent="0.25">
      <c r="A182" s="2">
        <v>180</v>
      </c>
      <c r="B182" s="3">
        <v>4</v>
      </c>
      <c r="C182" s="2">
        <v>2</v>
      </c>
      <c r="D182" s="9">
        <v>81</v>
      </c>
      <c r="E182" s="3" t="s">
        <v>53</v>
      </c>
      <c r="F182" s="3">
        <f>IF(E283="Happy", 1,2)</f>
        <v>2</v>
      </c>
      <c r="G182" s="11"/>
      <c r="H182" s="3" t="s">
        <v>54</v>
      </c>
      <c r="I182" s="3">
        <f t="shared" si="17"/>
        <v>1</v>
      </c>
      <c r="J182" s="3" t="s">
        <v>66</v>
      </c>
      <c r="K182" s="3">
        <v>12</v>
      </c>
      <c r="L182" s="6" t="s">
        <v>151</v>
      </c>
      <c r="M182" s="3">
        <v>-40</v>
      </c>
      <c r="N182" s="3">
        <f t="shared" si="18"/>
        <v>-0.4</v>
      </c>
      <c r="O182" s="3">
        <v>2</v>
      </c>
      <c r="P182" s="3">
        <v>0.02</v>
      </c>
      <c r="Q182" s="17">
        <v>4.1666666666666657E-2</v>
      </c>
      <c r="R182" s="21">
        <v>0.41407527496016139</v>
      </c>
      <c r="S182" s="3">
        <v>13</v>
      </c>
      <c r="T182" s="3">
        <v>421.63</v>
      </c>
      <c r="U182" s="3">
        <v>439.41</v>
      </c>
      <c r="V182" s="26">
        <v>0.207223502207071</v>
      </c>
      <c r="W182" s="18">
        <v>-0.33906181671652902</v>
      </c>
      <c r="X182" s="18">
        <v>-0.99544829320070205</v>
      </c>
      <c r="Y182" s="18">
        <v>0.89654187712200895</v>
      </c>
      <c r="Z182" s="18">
        <v>2.16508405476181</v>
      </c>
      <c r="AA182" s="18">
        <v>2.4530098300237699</v>
      </c>
      <c r="AB182" s="18">
        <v>-0.84372025076803903</v>
      </c>
      <c r="AC182" s="18">
        <v>-2.6095865929105299E-2</v>
      </c>
      <c r="AD182" s="18">
        <v>-1.35090814888877</v>
      </c>
      <c r="AE182" s="21">
        <v>8.7274543024607798E-2</v>
      </c>
      <c r="AF182" s="3">
        <v>3.1756799999999998</v>
      </c>
      <c r="AG182" s="3">
        <v>0.14057700000000001</v>
      </c>
      <c r="AH182" s="3">
        <v>3.9361700000000002</v>
      </c>
      <c r="AI182" s="3">
        <v>60</v>
      </c>
      <c r="AJ182" s="3">
        <v>0.48921100000000001</v>
      </c>
      <c r="AK182" s="3">
        <v>0.48646099999999998</v>
      </c>
      <c r="AL182" s="3">
        <v>0</v>
      </c>
      <c r="AM182" s="3">
        <v>8.6036299999999996E-2</v>
      </c>
      <c r="AN182" s="3">
        <v>-0.323851</v>
      </c>
      <c r="AO182" s="3">
        <v>56.959499999999998</v>
      </c>
      <c r="AP182" s="3">
        <v>0.53724799999999995</v>
      </c>
      <c r="AQ182" s="3">
        <v>0.274142</v>
      </c>
      <c r="AR182" s="3">
        <v>0</v>
      </c>
      <c r="AS182" s="3">
        <v>0.20080899999999999</v>
      </c>
      <c r="AT182" s="3">
        <v>1.3760399999999999</v>
      </c>
      <c r="AU182" s="3">
        <v>3.7162199999999999</v>
      </c>
      <c r="AV182" s="3">
        <v>0.38264599999999999</v>
      </c>
      <c r="AW182" s="3">
        <v>2.16371</v>
      </c>
      <c r="AX182" s="3">
        <v>1.2837799999999999</v>
      </c>
      <c r="AY182" s="3">
        <v>0.32804299999999997</v>
      </c>
      <c r="AZ182" s="21">
        <v>4.2909600000000001</v>
      </c>
      <c r="BA182" s="3">
        <v>17.782</v>
      </c>
      <c r="BB182" s="3">
        <v>12</v>
      </c>
    </row>
    <row r="183" spans="1:54" s="3" customFormat="1" ht="63" customHeight="1" x14ac:dyDescent="0.25">
      <c r="A183" s="2">
        <v>181</v>
      </c>
      <c r="B183" s="3">
        <v>4</v>
      </c>
      <c r="C183" s="2">
        <v>2</v>
      </c>
      <c r="D183" s="9">
        <v>81</v>
      </c>
      <c r="E183" s="3" t="s">
        <v>53</v>
      </c>
      <c r="F183" s="3">
        <f t="shared" ref="F183:F190" si="24">IF(E283="Happy", 1,2)</f>
        <v>2</v>
      </c>
      <c r="G183" s="11"/>
      <c r="H183" s="3" t="s">
        <v>54</v>
      </c>
      <c r="I183" s="3">
        <f t="shared" si="17"/>
        <v>1</v>
      </c>
      <c r="J183" s="3" t="s">
        <v>67</v>
      </c>
      <c r="K183" s="3">
        <v>13</v>
      </c>
      <c r="L183" s="6" t="s">
        <v>160</v>
      </c>
      <c r="M183" s="3">
        <v>-40</v>
      </c>
      <c r="N183" s="3">
        <f t="shared" si="18"/>
        <v>-0.4</v>
      </c>
      <c r="O183" s="3">
        <v>2</v>
      </c>
      <c r="P183" s="3">
        <v>0.02</v>
      </c>
      <c r="Q183" s="17">
        <v>-9.4999999999999987E-2</v>
      </c>
      <c r="R183" s="21">
        <v>0.31937438845342619</v>
      </c>
      <c r="S183" s="3">
        <v>15</v>
      </c>
      <c r="T183" s="3">
        <v>449.43</v>
      </c>
      <c r="U183" s="3">
        <v>477.08</v>
      </c>
      <c r="V183" s="26">
        <v>2.3762728607422399</v>
      </c>
      <c r="W183" s="18">
        <v>2.8667850621768798</v>
      </c>
      <c r="X183" s="18">
        <v>1.09248506338169</v>
      </c>
      <c r="Y183" s="18">
        <v>0.70784530796662204</v>
      </c>
      <c r="Z183" s="18">
        <v>1.38288799224706</v>
      </c>
      <c r="AA183" s="18">
        <v>1.2269582234666301</v>
      </c>
      <c r="AB183" s="18">
        <v>0.74037064608250902</v>
      </c>
      <c r="AC183" s="18">
        <v>-0.217365625698488</v>
      </c>
      <c r="AD183" s="18">
        <v>-1.9026400127705301</v>
      </c>
      <c r="AE183" s="21">
        <v>-1.8526309644610099E-2</v>
      </c>
      <c r="AF183" s="3">
        <v>4.2981199999999999</v>
      </c>
      <c r="AG183" s="3">
        <v>9.8091700000000004E-2</v>
      </c>
      <c r="AH183" s="3">
        <v>3.3394599999999999</v>
      </c>
      <c r="AI183" s="3">
        <v>59.826300000000003</v>
      </c>
      <c r="AJ183" s="3">
        <v>0.52576400000000001</v>
      </c>
      <c r="AK183" s="3">
        <v>0.40748400000000001</v>
      </c>
      <c r="AL183" s="3">
        <v>0</v>
      </c>
      <c r="AM183" s="3">
        <v>0.218669</v>
      </c>
      <c r="AN183" s="3">
        <v>-0.16064200000000001</v>
      </c>
      <c r="AO183" s="3">
        <v>58.002899999999997</v>
      </c>
      <c r="AP183" s="3">
        <v>0.48483500000000002</v>
      </c>
      <c r="AQ183" s="3">
        <v>0.88388100000000003</v>
      </c>
      <c r="AR183" s="3">
        <v>10.723599999999999</v>
      </c>
      <c r="AS183" s="3">
        <v>0.19631999999999999</v>
      </c>
      <c r="AT183" s="3">
        <v>2.99838</v>
      </c>
      <c r="AU183" s="3">
        <v>8.0318400000000008</v>
      </c>
      <c r="AV183" s="3">
        <v>0.20633399999999999</v>
      </c>
      <c r="AW183" s="3">
        <v>1.68571</v>
      </c>
      <c r="AX183" s="3">
        <v>1.5629500000000001</v>
      </c>
      <c r="AY183" s="3">
        <v>0.378334</v>
      </c>
      <c r="AZ183" s="21">
        <v>4.9326299999999996</v>
      </c>
      <c r="BA183" s="3">
        <v>27.652000000000001</v>
      </c>
      <c r="BB183" s="3">
        <v>13</v>
      </c>
    </row>
    <row r="184" spans="1:54" s="3" customFormat="1" ht="126" customHeight="1" x14ac:dyDescent="0.25">
      <c r="A184" s="2">
        <v>182</v>
      </c>
      <c r="B184" s="3">
        <v>4</v>
      </c>
      <c r="C184" s="2">
        <v>2</v>
      </c>
      <c r="D184" s="9">
        <v>81</v>
      </c>
      <c r="E184" s="3" t="s">
        <v>53</v>
      </c>
      <c r="F184" s="3">
        <f t="shared" si="24"/>
        <v>2</v>
      </c>
      <c r="G184" s="11" t="s">
        <v>76</v>
      </c>
      <c r="H184" s="3" t="s">
        <v>76</v>
      </c>
      <c r="I184" s="3">
        <f t="shared" si="17"/>
        <v>2</v>
      </c>
      <c r="J184" s="3" t="s">
        <v>77</v>
      </c>
      <c r="K184" s="3">
        <v>1</v>
      </c>
      <c r="L184" s="6" t="s">
        <v>211</v>
      </c>
      <c r="M184" s="3">
        <v>-69</v>
      </c>
      <c r="N184" s="3">
        <f t="shared" si="18"/>
        <v>-0.69</v>
      </c>
      <c r="O184" s="3">
        <v>1</v>
      </c>
      <c r="P184" s="3">
        <v>0.01</v>
      </c>
      <c r="Q184" s="17">
        <v>6.2962962962962971E-2</v>
      </c>
      <c r="R184" s="21">
        <v>0.23054222058156509</v>
      </c>
      <c r="S184" s="3">
        <v>2</v>
      </c>
      <c r="T184" s="3">
        <v>60.99</v>
      </c>
      <c r="U184" s="3">
        <v>122.17</v>
      </c>
      <c r="V184" s="26">
        <v>-0.27303869150899202</v>
      </c>
      <c r="W184" s="18">
        <v>1.72458179620116</v>
      </c>
      <c r="X184" s="18">
        <v>-0.54435992195597005</v>
      </c>
      <c r="Y184" s="18">
        <v>1.03348034674277</v>
      </c>
      <c r="Z184" s="18">
        <v>0.68986855580426298</v>
      </c>
      <c r="AA184" s="18">
        <v>0.61711058830448096</v>
      </c>
      <c r="AB184" s="18">
        <v>-2.2260599186522199</v>
      </c>
      <c r="AC184" s="18">
        <v>-1.13963518004306</v>
      </c>
      <c r="AD184" s="18">
        <v>1.53590530681347</v>
      </c>
      <c r="AE184" s="21">
        <v>-0.73502575493614997</v>
      </c>
      <c r="AF184" s="3">
        <v>0</v>
      </c>
      <c r="AG184" s="3">
        <v>0.26031100000000001</v>
      </c>
      <c r="AH184" s="3">
        <v>-0.32681100000000002</v>
      </c>
      <c r="AI184" s="3">
        <v>60</v>
      </c>
      <c r="AJ184" s="3">
        <v>0.57924500000000001</v>
      </c>
      <c r="AK184" s="3">
        <v>-0.16492599999999999</v>
      </c>
      <c r="AL184" s="3">
        <v>0</v>
      </c>
      <c r="AM184" s="3">
        <v>0.12375800000000001</v>
      </c>
      <c r="AN184" s="3">
        <v>-0.36232500000000001</v>
      </c>
      <c r="AO184" s="3">
        <v>55.624600000000001</v>
      </c>
      <c r="AP184" s="3">
        <v>0.25412699999999999</v>
      </c>
      <c r="AQ184" s="3">
        <v>-0.85126299999999999</v>
      </c>
      <c r="AR184" s="3">
        <v>0</v>
      </c>
      <c r="AS184" s="3">
        <v>5.26902E-2</v>
      </c>
      <c r="AT184" s="3">
        <v>-0.76670300000000002</v>
      </c>
      <c r="AU184" s="3">
        <v>0.31393100000000002</v>
      </c>
      <c r="AV184" s="3">
        <v>0.23455599999999999</v>
      </c>
      <c r="AW184" s="3">
        <v>1.9115800000000001</v>
      </c>
      <c r="AX184" s="3">
        <v>0</v>
      </c>
      <c r="AY184" s="3">
        <v>0</v>
      </c>
      <c r="AZ184" s="21">
        <v>-0.62873400000000002</v>
      </c>
      <c r="BA184" s="3">
        <v>61.18</v>
      </c>
      <c r="BB184" s="3">
        <v>1</v>
      </c>
    </row>
    <row r="185" spans="1:54" s="3" customFormat="1" ht="94.5" customHeight="1" x14ac:dyDescent="0.25">
      <c r="A185" s="2">
        <v>183</v>
      </c>
      <c r="B185" s="3">
        <v>4</v>
      </c>
      <c r="C185" s="2">
        <v>2</v>
      </c>
      <c r="D185" s="9">
        <v>81</v>
      </c>
      <c r="E185" s="3" t="s">
        <v>53</v>
      </c>
      <c r="F185" s="3">
        <f t="shared" si="24"/>
        <v>2</v>
      </c>
      <c r="G185" s="11"/>
      <c r="H185" s="3" t="s">
        <v>76</v>
      </c>
      <c r="I185" s="3">
        <f t="shared" si="17"/>
        <v>2</v>
      </c>
      <c r="J185" s="3" t="s">
        <v>78</v>
      </c>
      <c r="K185" s="3">
        <v>2</v>
      </c>
      <c r="L185" s="6" t="s">
        <v>167</v>
      </c>
      <c r="M185" s="3">
        <v>-69</v>
      </c>
      <c r="N185" s="3">
        <f t="shared" si="18"/>
        <v>-0.69</v>
      </c>
      <c r="O185" s="3">
        <v>1</v>
      </c>
      <c r="P185" s="3">
        <v>0.01</v>
      </c>
      <c r="Q185" s="17">
        <v>1.9047619047619049E-2</v>
      </c>
      <c r="R185" s="21">
        <v>0.1119807239648081</v>
      </c>
      <c r="S185" s="3">
        <v>3</v>
      </c>
      <c r="T185" s="3">
        <v>122.17</v>
      </c>
      <c r="U185" s="3">
        <v>169.22</v>
      </c>
      <c r="V185" s="26">
        <v>-0.130788012842184</v>
      </c>
      <c r="W185" s="18">
        <v>0.14227449478040199</v>
      </c>
      <c r="X185" s="18">
        <v>-0.61561285086276396</v>
      </c>
      <c r="Y185" s="18">
        <v>0.70424777190031496</v>
      </c>
      <c r="Z185" s="18">
        <v>0.47483100822615498</v>
      </c>
      <c r="AA185" s="18">
        <v>0.54047391031988201</v>
      </c>
      <c r="AB185" s="18">
        <v>0.50679076298808901</v>
      </c>
      <c r="AC185" s="18">
        <v>-0.68851118094333597</v>
      </c>
      <c r="AD185" s="18">
        <v>-0.30405869820266601</v>
      </c>
      <c r="AE185" s="21">
        <v>0.49172843550693501</v>
      </c>
      <c r="AF185" s="3">
        <v>0</v>
      </c>
      <c r="AG185" s="3">
        <v>6.7432099999999995E-2</v>
      </c>
      <c r="AH185" s="3">
        <v>-0.65759500000000004</v>
      </c>
      <c r="AI185" s="3">
        <v>60</v>
      </c>
      <c r="AJ185" s="3">
        <v>0.54001200000000005</v>
      </c>
      <c r="AK185" s="3">
        <v>0.163246</v>
      </c>
      <c r="AL185" s="3">
        <v>0</v>
      </c>
      <c r="AM185" s="3">
        <v>6.9979100000000002E-2</v>
      </c>
      <c r="AN185" s="3">
        <v>-0.35019899999999998</v>
      </c>
      <c r="AO185" s="3">
        <v>56.350499999999997</v>
      </c>
      <c r="AP185" s="3">
        <v>0.33061299999999999</v>
      </c>
      <c r="AQ185" s="3">
        <v>-0.195019</v>
      </c>
      <c r="AR185" s="3">
        <v>0</v>
      </c>
      <c r="AS185" s="3">
        <v>3.7910800000000001E-2</v>
      </c>
      <c r="AT185" s="3">
        <v>-0.778061</v>
      </c>
      <c r="AU185" s="3">
        <v>0.40833700000000001</v>
      </c>
      <c r="AV185" s="3">
        <v>0.191137</v>
      </c>
      <c r="AW185" s="3">
        <v>1.83223</v>
      </c>
      <c r="AX185" s="3">
        <v>1.2760499999999999</v>
      </c>
      <c r="AY185" s="3">
        <v>0.18951000000000001</v>
      </c>
      <c r="AZ185" s="21">
        <v>4.1898</v>
      </c>
      <c r="BA185" s="3">
        <v>47.048999999999999</v>
      </c>
      <c r="BB185" s="3">
        <v>2</v>
      </c>
    </row>
    <row r="186" spans="1:54" s="3" customFormat="1" ht="78.75" customHeight="1" x14ac:dyDescent="0.25">
      <c r="A186" s="2">
        <v>184</v>
      </c>
      <c r="B186" s="3">
        <v>4</v>
      </c>
      <c r="C186" s="2">
        <v>2</v>
      </c>
      <c r="D186" s="9">
        <v>81</v>
      </c>
      <c r="E186" s="3" t="s">
        <v>53</v>
      </c>
      <c r="F186" s="3">
        <f t="shared" si="24"/>
        <v>2</v>
      </c>
      <c r="G186" s="11"/>
      <c r="H186" s="3" t="s">
        <v>76</v>
      </c>
      <c r="I186" s="3">
        <f t="shared" si="17"/>
        <v>2</v>
      </c>
      <c r="J186" s="3" t="s">
        <v>79</v>
      </c>
      <c r="K186" s="3">
        <v>3</v>
      </c>
      <c r="L186" s="6" t="s">
        <v>163</v>
      </c>
      <c r="M186" s="3">
        <v>-69</v>
      </c>
      <c r="N186" s="3">
        <f t="shared" si="18"/>
        <v>-0.69</v>
      </c>
      <c r="O186" s="3">
        <v>1</v>
      </c>
      <c r="P186" s="3">
        <v>0.01</v>
      </c>
      <c r="Q186" s="17">
        <v>8.8750000000000009E-2</v>
      </c>
      <c r="R186" s="21">
        <v>0.26954501273236148</v>
      </c>
      <c r="S186" s="3">
        <v>4</v>
      </c>
      <c r="T186" s="3">
        <v>169.22</v>
      </c>
      <c r="U186" s="3">
        <v>204.93</v>
      </c>
      <c r="V186" s="26">
        <v>-1.4549673850575999</v>
      </c>
      <c r="W186" s="18">
        <v>-0.59117922516180099</v>
      </c>
      <c r="X186" s="18">
        <v>-0.524756884699633</v>
      </c>
      <c r="Y186" s="18">
        <v>-0.59492694623900699</v>
      </c>
      <c r="Z186" s="18">
        <v>0.31687132821507602</v>
      </c>
      <c r="AA186" s="18">
        <v>5.1261422385254198E-2</v>
      </c>
      <c r="AB186" s="18">
        <v>0.210529650364153</v>
      </c>
      <c r="AC186" s="18">
        <v>-1.21801744239844</v>
      </c>
      <c r="AD186" s="18">
        <v>0.20958719746337601</v>
      </c>
      <c r="AE186" s="21">
        <v>-0.67475944645368302</v>
      </c>
      <c r="AF186" s="3">
        <v>0</v>
      </c>
      <c r="AG186" s="3">
        <v>0.30804700000000002</v>
      </c>
      <c r="AH186" s="3">
        <v>-0.25853999999999999</v>
      </c>
      <c r="AI186" s="3">
        <v>59.831899999999997</v>
      </c>
      <c r="AJ186" s="3">
        <v>0.65036099999999997</v>
      </c>
      <c r="AK186" s="3">
        <v>3.2887300000000001E-2</v>
      </c>
      <c r="AL186" s="3">
        <v>0</v>
      </c>
      <c r="AM186" s="3">
        <v>1.29891E-2</v>
      </c>
      <c r="AN186" s="3">
        <v>-0.447382</v>
      </c>
      <c r="AO186" s="3">
        <v>51.596600000000002</v>
      </c>
      <c r="AP186" s="3">
        <v>0.115242</v>
      </c>
      <c r="AQ186" s="3">
        <v>-1.2141599999999999</v>
      </c>
      <c r="AR186" s="3">
        <v>0</v>
      </c>
      <c r="AS186" s="3">
        <v>0</v>
      </c>
      <c r="AT186" s="3">
        <v>-0.81517499999999998</v>
      </c>
      <c r="AU186" s="3">
        <v>0.67226900000000001</v>
      </c>
      <c r="AV186" s="3">
        <v>0.28626299999999999</v>
      </c>
      <c r="AW186" s="3">
        <v>1.76057</v>
      </c>
      <c r="AX186" s="3">
        <v>0</v>
      </c>
      <c r="AY186" s="3">
        <v>0.26969700000000002</v>
      </c>
      <c r="AZ186" s="21">
        <v>0.198826</v>
      </c>
      <c r="BA186" s="3">
        <v>35.710999999999999</v>
      </c>
      <c r="BB186" s="3">
        <v>3</v>
      </c>
    </row>
    <row r="187" spans="1:54" s="3" customFormat="1" ht="63" customHeight="1" x14ac:dyDescent="0.25">
      <c r="A187" s="2">
        <v>185</v>
      </c>
      <c r="B187" s="3">
        <v>4</v>
      </c>
      <c r="C187" s="2">
        <v>2</v>
      </c>
      <c r="D187" s="9">
        <v>81</v>
      </c>
      <c r="E187" s="3" t="s">
        <v>53</v>
      </c>
      <c r="F187" s="3">
        <f t="shared" si="24"/>
        <v>2</v>
      </c>
      <c r="G187" s="11"/>
      <c r="H187" s="3" t="s">
        <v>76</v>
      </c>
      <c r="I187" s="3">
        <f t="shared" si="17"/>
        <v>2</v>
      </c>
      <c r="J187" s="3" t="s">
        <v>80</v>
      </c>
      <c r="K187" s="3">
        <v>4</v>
      </c>
      <c r="L187" s="6" t="s">
        <v>160</v>
      </c>
      <c r="M187" s="3">
        <v>-69</v>
      </c>
      <c r="N187" s="3">
        <f t="shared" si="18"/>
        <v>-0.69</v>
      </c>
      <c r="O187" s="3">
        <v>1</v>
      </c>
      <c r="P187" s="3">
        <v>0.01</v>
      </c>
      <c r="Q187" s="17">
        <v>0.121875</v>
      </c>
      <c r="R187" s="21">
        <v>0.26640379528613539</v>
      </c>
      <c r="S187" s="3">
        <v>5</v>
      </c>
      <c r="T187" s="3">
        <v>204.93</v>
      </c>
      <c r="U187" s="3">
        <v>232.83</v>
      </c>
      <c r="V187" s="26">
        <v>-0.57146751130365703</v>
      </c>
      <c r="W187" s="18">
        <v>0.96765897902343001</v>
      </c>
      <c r="X187" s="18">
        <v>-0.88697317005505105</v>
      </c>
      <c r="Y187" s="18">
        <v>-0.42787361825673298</v>
      </c>
      <c r="Z187" s="18">
        <v>1.0791565066948201</v>
      </c>
      <c r="AA187" s="18">
        <v>0.41411355244292403</v>
      </c>
      <c r="AB187" s="18">
        <v>0.33920228945250203</v>
      </c>
      <c r="AC187" s="18">
        <v>-9.3828364377506801E-2</v>
      </c>
      <c r="AD187" s="18">
        <v>-0.50632606994290097</v>
      </c>
      <c r="AE187" s="21">
        <v>-1.4850064827179501</v>
      </c>
      <c r="AF187" s="3">
        <v>0</v>
      </c>
      <c r="AG187" s="3">
        <v>0.10671600000000001</v>
      </c>
      <c r="AH187" s="3">
        <v>-0.64845699999999995</v>
      </c>
      <c r="AI187" s="3">
        <v>60</v>
      </c>
      <c r="AJ187" s="3">
        <v>0.41891400000000001</v>
      </c>
      <c r="AK187" s="3">
        <v>0.53285800000000005</v>
      </c>
      <c r="AL187" s="3">
        <v>0</v>
      </c>
      <c r="AM187" s="3">
        <v>9.5837199999999997E-2</v>
      </c>
      <c r="AN187" s="3">
        <v>-0.31715199999999999</v>
      </c>
      <c r="AO187" s="3">
        <v>48.335700000000003</v>
      </c>
      <c r="AP187" s="3">
        <v>7.5414800000000004E-2</v>
      </c>
      <c r="AQ187" s="3">
        <v>-1.3181</v>
      </c>
      <c r="AR187" s="3">
        <v>0</v>
      </c>
      <c r="AS187" s="3">
        <v>3.2581300000000001E-3</v>
      </c>
      <c r="AT187" s="3">
        <v>-0.81262900000000005</v>
      </c>
      <c r="AU187" s="3">
        <v>0.60258199999999995</v>
      </c>
      <c r="AV187" s="3">
        <v>0.25684499999999999</v>
      </c>
      <c r="AW187" s="3">
        <v>1.95509</v>
      </c>
      <c r="AX187" s="3">
        <v>0.94691499999999995</v>
      </c>
      <c r="AY187" s="3">
        <v>0.21803700000000001</v>
      </c>
      <c r="AZ187" s="21">
        <v>4.2104999999999997</v>
      </c>
      <c r="BA187" s="3">
        <v>27.905000000000001</v>
      </c>
      <c r="BB187" s="3">
        <v>4</v>
      </c>
    </row>
    <row r="188" spans="1:54" s="3" customFormat="1" ht="47.25" customHeight="1" x14ac:dyDescent="0.25">
      <c r="A188" s="2">
        <v>186</v>
      </c>
      <c r="B188" s="3">
        <v>4</v>
      </c>
      <c r="C188" s="2">
        <v>2</v>
      </c>
      <c r="D188" s="9">
        <v>81</v>
      </c>
      <c r="E188" s="3" t="s">
        <v>53</v>
      </c>
      <c r="F188" s="3">
        <f t="shared" si="24"/>
        <v>2</v>
      </c>
      <c r="G188" s="11"/>
      <c r="H188" s="3" t="s">
        <v>76</v>
      </c>
      <c r="I188" s="3">
        <f t="shared" si="17"/>
        <v>2</v>
      </c>
      <c r="J188" s="3" t="s">
        <v>81</v>
      </c>
      <c r="K188" s="3">
        <v>5</v>
      </c>
      <c r="L188" s="6" t="s">
        <v>146</v>
      </c>
      <c r="M188" s="3">
        <v>-69</v>
      </c>
      <c r="N188" s="3">
        <f t="shared" si="18"/>
        <v>-0.69</v>
      </c>
      <c r="O188" s="3">
        <v>1</v>
      </c>
      <c r="P188" s="3">
        <v>0.01</v>
      </c>
      <c r="Q188" s="17">
        <v>-8.7499999999999994E-2</v>
      </c>
      <c r="R188" s="21">
        <v>0.26575364531836632</v>
      </c>
      <c r="S188" s="3">
        <v>6</v>
      </c>
      <c r="T188" s="3">
        <v>232.83</v>
      </c>
      <c r="U188" s="3">
        <v>248.72</v>
      </c>
      <c r="V188" s="26">
        <v>-0.72519893605322105</v>
      </c>
      <c r="W188" s="18">
        <v>-1.0090675946306</v>
      </c>
      <c r="X188" s="18">
        <v>-1.01780576132996</v>
      </c>
      <c r="Y188" s="18">
        <v>-0.88064093963418699</v>
      </c>
      <c r="Z188" s="18">
        <v>-1.28203299580844</v>
      </c>
      <c r="AA188" s="18">
        <v>-1.68595682632916</v>
      </c>
      <c r="AB188" s="18">
        <v>-0.576826376352921</v>
      </c>
      <c r="AC188" s="18">
        <v>2.8501923700683802</v>
      </c>
      <c r="AD188" s="18">
        <v>1.57038854830607</v>
      </c>
      <c r="AE188" s="21">
        <v>-0.394855924835119</v>
      </c>
      <c r="AF188" s="3">
        <v>0</v>
      </c>
      <c r="AG188" s="3">
        <v>0.34656999999999999</v>
      </c>
      <c r="AH188" s="3">
        <v>0.10158300000000001</v>
      </c>
      <c r="AI188" s="3">
        <v>60</v>
      </c>
      <c r="AJ188" s="3">
        <v>0.57365299999999997</v>
      </c>
      <c r="AK188" s="3">
        <v>0.70926599999999995</v>
      </c>
      <c r="AL188" s="3">
        <v>0</v>
      </c>
      <c r="AM188" s="3">
        <v>0.10767400000000001</v>
      </c>
      <c r="AN188" s="3">
        <v>-0.35864600000000002</v>
      </c>
      <c r="AO188" s="3">
        <v>58.3354</v>
      </c>
      <c r="AP188" s="3">
        <v>0.37723200000000001</v>
      </c>
      <c r="AQ188" s="3">
        <v>-0.248891</v>
      </c>
      <c r="AR188" s="3">
        <v>0</v>
      </c>
      <c r="AS188" s="3">
        <v>8.9757299999999998E-2</v>
      </c>
      <c r="AT188" s="3">
        <v>-0.65434199999999998</v>
      </c>
      <c r="AU188" s="3">
        <v>4.4640599999999999</v>
      </c>
      <c r="AV188" s="3">
        <v>0.159081</v>
      </c>
      <c r="AW188" s="3">
        <v>1.6837899999999999</v>
      </c>
      <c r="AX188" s="3">
        <v>0</v>
      </c>
      <c r="AY188" s="3">
        <v>0.229412</v>
      </c>
      <c r="AZ188" s="21">
        <v>-0.19061400000000001</v>
      </c>
      <c r="BA188" s="3">
        <v>15.882999999999999</v>
      </c>
      <c r="BB188" s="3">
        <v>5</v>
      </c>
    </row>
    <row r="189" spans="1:54" s="3" customFormat="1" ht="110.25" customHeight="1" x14ac:dyDescent="0.25">
      <c r="A189" s="2">
        <v>187</v>
      </c>
      <c r="B189" s="3">
        <v>4</v>
      </c>
      <c r="C189" s="2">
        <v>2</v>
      </c>
      <c r="D189" s="9">
        <v>81</v>
      </c>
      <c r="E189" s="3" t="s">
        <v>53</v>
      </c>
      <c r="F189" s="3">
        <f t="shared" si="24"/>
        <v>2</v>
      </c>
      <c r="G189" s="11"/>
      <c r="H189" s="3" t="s">
        <v>76</v>
      </c>
      <c r="I189" s="3">
        <f t="shared" si="17"/>
        <v>2</v>
      </c>
      <c r="J189" s="3" t="s">
        <v>82</v>
      </c>
      <c r="K189" s="3">
        <v>6</v>
      </c>
      <c r="L189" s="6" t="s">
        <v>224</v>
      </c>
      <c r="M189" s="3">
        <v>-69</v>
      </c>
      <c r="N189" s="3">
        <f t="shared" si="18"/>
        <v>-0.69</v>
      </c>
      <c r="O189" s="3">
        <v>1</v>
      </c>
      <c r="P189" s="3">
        <v>0.01</v>
      </c>
      <c r="Q189" s="17">
        <v>-0.12465277777777781</v>
      </c>
      <c r="R189" s="21">
        <v>0.30410936744092548</v>
      </c>
      <c r="S189" s="3">
        <v>7</v>
      </c>
      <c r="T189" s="3">
        <v>248.72</v>
      </c>
      <c r="U189" s="3">
        <v>298.02999999999997</v>
      </c>
      <c r="V189" s="26">
        <v>-0.80251752621918004</v>
      </c>
      <c r="W189" s="18">
        <v>-1.2928949431430099</v>
      </c>
      <c r="X189" s="18">
        <v>-1.23931030668463</v>
      </c>
      <c r="Y189" s="18">
        <v>-1.1792364331377501</v>
      </c>
      <c r="Z189" s="18">
        <v>0.307579582332072</v>
      </c>
      <c r="AA189" s="18">
        <v>-0.27219043910856799</v>
      </c>
      <c r="AB189" s="18">
        <v>-7.0835652127853893E-2</v>
      </c>
      <c r="AC189" s="18">
        <v>-0.26678053022688097</v>
      </c>
      <c r="AD189" s="18">
        <v>0.35729899311082502</v>
      </c>
      <c r="AE189" s="21">
        <v>-0.75243602183108405</v>
      </c>
      <c r="AF189" s="3">
        <v>0</v>
      </c>
      <c r="AG189" s="3">
        <v>0.371726</v>
      </c>
      <c r="AH189" s="3">
        <v>-2.88098E-2</v>
      </c>
      <c r="AI189" s="3">
        <v>60</v>
      </c>
      <c r="AJ189" s="3">
        <v>0.59352300000000002</v>
      </c>
      <c r="AK189" s="3">
        <v>2.4457199999999998E-2</v>
      </c>
      <c r="AL189" s="3">
        <v>0</v>
      </c>
      <c r="AM189" s="3">
        <v>0.19578300000000001</v>
      </c>
      <c r="AN189" s="3">
        <v>-0.21163799999999999</v>
      </c>
      <c r="AO189" s="3">
        <v>57.079099999999997</v>
      </c>
      <c r="AP189" s="3">
        <v>0.36572399999999999</v>
      </c>
      <c r="AQ189" s="3">
        <v>0.24895999999999999</v>
      </c>
      <c r="AR189" s="3">
        <v>0</v>
      </c>
      <c r="AS189" s="3">
        <v>0.13953699999999999</v>
      </c>
      <c r="AT189" s="3">
        <v>-0.65463800000000005</v>
      </c>
      <c r="AU189" s="3">
        <v>1.11968</v>
      </c>
      <c r="AV189" s="3">
        <v>0.11232399999999999</v>
      </c>
      <c r="AW189" s="3">
        <v>1.6351599999999999</v>
      </c>
      <c r="AX189" s="3">
        <v>0.36511199999999999</v>
      </c>
      <c r="AY189" s="3">
        <v>0.209144</v>
      </c>
      <c r="AZ189" s="21">
        <v>4.32003</v>
      </c>
      <c r="BA189" s="3">
        <v>49.314999999999998</v>
      </c>
      <c r="BB189" s="3">
        <v>6</v>
      </c>
    </row>
    <row r="190" spans="1:54" s="3" customFormat="1" ht="141.75" customHeight="1" x14ac:dyDescent="0.25">
      <c r="A190" s="2">
        <v>188</v>
      </c>
      <c r="B190" s="3">
        <v>4</v>
      </c>
      <c r="C190" s="2">
        <v>2</v>
      </c>
      <c r="D190" s="9">
        <v>81</v>
      </c>
      <c r="E190" s="3" t="s">
        <v>53</v>
      </c>
      <c r="F190" s="3">
        <f t="shared" si="24"/>
        <v>2</v>
      </c>
      <c r="G190" s="11"/>
      <c r="H190" s="3" t="s">
        <v>76</v>
      </c>
      <c r="I190" s="3">
        <f t="shared" si="17"/>
        <v>2</v>
      </c>
      <c r="J190" s="3" t="s">
        <v>83</v>
      </c>
      <c r="K190" s="3">
        <v>7</v>
      </c>
      <c r="L190" s="6" t="s">
        <v>196</v>
      </c>
      <c r="M190" s="3">
        <v>-69</v>
      </c>
      <c r="N190" s="3">
        <f t="shared" si="18"/>
        <v>-0.69</v>
      </c>
      <c r="O190" s="3">
        <v>1</v>
      </c>
      <c r="P190" s="3">
        <v>0.01</v>
      </c>
      <c r="Q190" s="17">
        <v>0.1061309523809524</v>
      </c>
      <c r="R190" s="21">
        <v>0.35169394825865041</v>
      </c>
      <c r="S190" s="3">
        <v>8</v>
      </c>
      <c r="T190" s="3">
        <v>298.02999999999997</v>
      </c>
      <c r="U190" s="3">
        <v>362.8</v>
      </c>
      <c r="V190" s="26">
        <v>-0.71687068991941705</v>
      </c>
      <c r="W190" s="18">
        <v>1.5528274158080901E-2</v>
      </c>
      <c r="X190" s="18">
        <v>0.70932590278791596</v>
      </c>
      <c r="Y190" s="18">
        <v>-0.344027818001649</v>
      </c>
      <c r="Z190" s="18">
        <v>0.30070127693815801</v>
      </c>
      <c r="AA190" s="18">
        <v>0.15963470113524</v>
      </c>
      <c r="AB190" s="18">
        <v>1.22159160436171E-2</v>
      </c>
      <c r="AC190" s="18">
        <v>0.48594478271855102</v>
      </c>
      <c r="AD190" s="18">
        <v>-0.58558605785128703</v>
      </c>
      <c r="AE190" s="21">
        <v>-0.44306897162109199</v>
      </c>
      <c r="AF190" s="3">
        <v>1.2233499999999999</v>
      </c>
      <c r="AG190" s="3">
        <v>0.119629</v>
      </c>
      <c r="AH190" s="3">
        <v>3.81562</v>
      </c>
      <c r="AI190" s="3">
        <v>59.962899999999998</v>
      </c>
      <c r="AJ190" s="3">
        <v>0.50416899999999998</v>
      </c>
      <c r="AK190" s="3">
        <v>-0.12975</v>
      </c>
      <c r="AL190" s="3">
        <v>0</v>
      </c>
      <c r="AM190" s="3">
        <v>8.6257100000000003E-2</v>
      </c>
      <c r="AN190" s="3">
        <v>-0.29982399999999998</v>
      </c>
      <c r="AO190" s="3">
        <v>57.386499999999998</v>
      </c>
      <c r="AP190" s="3">
        <v>0.18440200000000001</v>
      </c>
      <c r="AQ190" s="3">
        <v>-0.59607200000000005</v>
      </c>
      <c r="AR190" s="3">
        <v>0</v>
      </c>
      <c r="AS190" s="3">
        <v>5.18973E-2</v>
      </c>
      <c r="AT190" s="3">
        <v>-0.76663400000000004</v>
      </c>
      <c r="AU190" s="3">
        <v>1.4272499999999999</v>
      </c>
      <c r="AV190" s="3">
        <v>7.7980499999999994E-2</v>
      </c>
      <c r="AW190" s="3">
        <v>1.4614799999999999</v>
      </c>
      <c r="AX190" s="3">
        <v>0</v>
      </c>
      <c r="AY190" s="3">
        <v>0.19073799999999999</v>
      </c>
      <c r="AZ190" s="21">
        <v>0.32337100000000002</v>
      </c>
      <c r="BA190" s="3">
        <v>64.766999999999996</v>
      </c>
      <c r="BB190" s="3">
        <v>7</v>
      </c>
    </row>
    <row r="191" spans="1:54" s="3" customFormat="1" ht="47.25" customHeight="1" x14ac:dyDescent="0.25">
      <c r="A191" s="2">
        <v>189</v>
      </c>
      <c r="B191" s="3">
        <v>4</v>
      </c>
      <c r="C191" s="2">
        <v>2</v>
      </c>
      <c r="D191" s="9">
        <v>81</v>
      </c>
      <c r="E191" s="3" t="s">
        <v>53</v>
      </c>
      <c r="F191" s="3">
        <f>IF(E292="Happy", 1,2)</f>
        <v>2</v>
      </c>
      <c r="G191" s="11"/>
      <c r="H191" s="3" t="s">
        <v>76</v>
      </c>
      <c r="I191" s="3">
        <f t="shared" si="17"/>
        <v>2</v>
      </c>
      <c r="J191" s="3" t="s">
        <v>94</v>
      </c>
      <c r="K191" s="3">
        <v>8</v>
      </c>
      <c r="L191" s="6" t="s">
        <v>159</v>
      </c>
      <c r="M191" s="3">
        <v>-69</v>
      </c>
      <c r="N191" s="3">
        <f t="shared" si="18"/>
        <v>-0.69</v>
      </c>
      <c r="O191" s="3">
        <v>1</v>
      </c>
      <c r="P191" s="3">
        <v>0.01</v>
      </c>
      <c r="Q191" s="17">
        <v>-7.2222222222222132E-3</v>
      </c>
      <c r="R191" s="21">
        <v>0.28060615605295408</v>
      </c>
      <c r="S191" s="3">
        <v>9</v>
      </c>
      <c r="T191" s="3">
        <v>362.8</v>
      </c>
      <c r="U191" s="3">
        <v>382.99</v>
      </c>
      <c r="V191" s="26">
        <v>-1.3560988698674501</v>
      </c>
      <c r="W191" s="18">
        <v>-0.88710124992990202</v>
      </c>
      <c r="X191" s="18">
        <v>-1.1982928632262999</v>
      </c>
      <c r="Y191" s="18">
        <v>1.2244302113375899E-2</v>
      </c>
      <c r="Z191" s="18">
        <v>0.84722487569306804</v>
      </c>
      <c r="AA191" s="18">
        <v>0.78034671241167597</v>
      </c>
      <c r="AB191" s="18">
        <v>0.66572184260084299</v>
      </c>
      <c r="AC191" s="18">
        <v>-1.4736117761659899</v>
      </c>
      <c r="AD191" s="18">
        <v>-0.68697708134448399</v>
      </c>
      <c r="AE191" s="21">
        <v>-0.93457419857809199</v>
      </c>
      <c r="AF191" s="3">
        <v>0</v>
      </c>
      <c r="AG191" s="3">
        <v>0.30823</v>
      </c>
      <c r="AH191" s="3">
        <v>-0.25699100000000002</v>
      </c>
      <c r="AI191" s="3">
        <v>60</v>
      </c>
      <c r="AJ191" s="3">
        <v>0.54239899999999996</v>
      </c>
      <c r="AK191" s="3">
        <v>-0.26802199999999998</v>
      </c>
      <c r="AL191" s="3">
        <v>0</v>
      </c>
      <c r="AM191" s="3">
        <v>0.13003999999999999</v>
      </c>
      <c r="AN191" s="3">
        <v>-0.17014299999999999</v>
      </c>
      <c r="AO191" s="3">
        <v>54.886000000000003</v>
      </c>
      <c r="AP191" s="3">
        <v>0.26831300000000002</v>
      </c>
      <c r="AQ191" s="3">
        <v>-0.20987</v>
      </c>
      <c r="AR191" s="3">
        <v>0</v>
      </c>
      <c r="AS191" s="3">
        <v>8.9276300000000006E-3</v>
      </c>
      <c r="AT191" s="3">
        <v>-0.80944199999999999</v>
      </c>
      <c r="AU191" s="3">
        <v>2.2596599999999998</v>
      </c>
      <c r="AV191" s="3">
        <v>0.205848</v>
      </c>
      <c r="AW191" s="3">
        <v>1.6871100000000001</v>
      </c>
      <c r="AX191" s="3">
        <v>0</v>
      </c>
      <c r="AY191" s="3">
        <v>0</v>
      </c>
      <c r="AZ191" s="21">
        <v>-0.62873400000000002</v>
      </c>
      <c r="BA191" s="3">
        <v>20.190000000000001</v>
      </c>
      <c r="BB191" s="3">
        <v>8</v>
      </c>
    </row>
    <row r="192" spans="1:54" s="3" customFormat="1" ht="94.5" customHeight="1" x14ac:dyDescent="0.25">
      <c r="A192" s="2">
        <v>190</v>
      </c>
      <c r="B192" s="3">
        <v>4</v>
      </c>
      <c r="C192" s="2">
        <v>2</v>
      </c>
      <c r="D192" s="9">
        <v>81</v>
      </c>
      <c r="E192" s="3" t="s">
        <v>53</v>
      </c>
      <c r="F192" s="3">
        <f>IF(E293="Happy", 1,2)</f>
        <v>2</v>
      </c>
      <c r="G192" s="11"/>
      <c r="H192" s="3" t="s">
        <v>76</v>
      </c>
      <c r="I192" s="3">
        <f t="shared" si="17"/>
        <v>2</v>
      </c>
      <c r="J192" s="3" t="s">
        <v>95</v>
      </c>
      <c r="K192" s="3">
        <v>9</v>
      </c>
      <c r="L192" s="6" t="s">
        <v>167</v>
      </c>
      <c r="M192" s="3">
        <v>-69</v>
      </c>
      <c r="N192" s="3">
        <f t="shared" si="18"/>
        <v>-0.69</v>
      </c>
      <c r="O192" s="3">
        <v>1</v>
      </c>
      <c r="P192" s="3">
        <v>0.01</v>
      </c>
      <c r="Q192" s="17">
        <v>-3.2499999999999987E-2</v>
      </c>
      <c r="R192" s="21">
        <v>0.22388613177238109</v>
      </c>
      <c r="S192" s="3">
        <v>10</v>
      </c>
      <c r="T192" s="3">
        <v>382.99</v>
      </c>
      <c r="U192" s="3">
        <v>430.06</v>
      </c>
      <c r="V192" s="26">
        <v>-0.802423421743092</v>
      </c>
      <c r="W192" s="18">
        <v>-0.36000534350423302</v>
      </c>
      <c r="X192" s="18">
        <v>-0.83826172136088095</v>
      </c>
      <c r="Y192" s="18">
        <v>-5.3845916911220003E-2</v>
      </c>
      <c r="Z192" s="18">
        <v>0.546389518727737</v>
      </c>
      <c r="AA192" s="18">
        <v>0.45567768014986398</v>
      </c>
      <c r="AB192" s="18">
        <v>-0.43826563538212099</v>
      </c>
      <c r="AC192" s="18">
        <v>-1.57286757577906</v>
      </c>
      <c r="AD192" s="18">
        <v>0.20135239352484199</v>
      </c>
      <c r="AE192" s="21">
        <v>-0.64797442046147602</v>
      </c>
      <c r="AF192" s="3">
        <v>0</v>
      </c>
      <c r="AG192" s="3">
        <v>0.35385699999999998</v>
      </c>
      <c r="AH192" s="3">
        <v>-0.21283099999999999</v>
      </c>
      <c r="AI192" s="3">
        <v>60</v>
      </c>
      <c r="AJ192" s="3">
        <v>0.51840699999999995</v>
      </c>
      <c r="AK192" s="3">
        <v>0.22593299999999999</v>
      </c>
      <c r="AL192" s="3">
        <v>0.15299599999999999</v>
      </c>
      <c r="AM192" s="3">
        <v>0.14607100000000001</v>
      </c>
      <c r="AN192" s="3">
        <v>8.1729500000000002</v>
      </c>
      <c r="AO192" s="3">
        <v>52.222700000000003</v>
      </c>
      <c r="AP192" s="3">
        <v>0.67713400000000001</v>
      </c>
      <c r="AQ192" s="3">
        <v>0.59675100000000003</v>
      </c>
      <c r="AR192" s="3">
        <v>0.73948199999999997</v>
      </c>
      <c r="AS192" s="3">
        <v>0.51527000000000001</v>
      </c>
      <c r="AT192" s="3">
        <v>4.6209600000000002</v>
      </c>
      <c r="AU192" s="3">
        <v>0.91797700000000004</v>
      </c>
      <c r="AV192" s="3">
        <v>0.76004899999999997</v>
      </c>
      <c r="AW192" s="3">
        <v>3.6301399999999999</v>
      </c>
      <c r="AX192" s="3">
        <v>0</v>
      </c>
      <c r="AY192" s="3">
        <v>0</v>
      </c>
      <c r="AZ192" s="21">
        <v>-0.62873400000000002</v>
      </c>
      <c r="BA192" s="3">
        <v>47.070999999999998</v>
      </c>
      <c r="BB192" s="3">
        <v>9</v>
      </c>
    </row>
    <row r="193" spans="1:54" s="3" customFormat="1" ht="126" customHeight="1" x14ac:dyDescent="0.25">
      <c r="A193" s="2">
        <v>191</v>
      </c>
      <c r="B193" s="3">
        <v>4</v>
      </c>
      <c r="C193" s="2">
        <v>2</v>
      </c>
      <c r="D193" s="9">
        <v>81</v>
      </c>
      <c r="E193" s="3" t="s">
        <v>53</v>
      </c>
      <c r="F193" s="3">
        <f t="shared" ref="F193:F200" si="25">IF(E293="Happy", 1,2)</f>
        <v>2</v>
      </c>
      <c r="G193" s="11"/>
      <c r="H193" s="3" t="s">
        <v>76</v>
      </c>
      <c r="I193" s="3">
        <f t="shared" si="17"/>
        <v>2</v>
      </c>
      <c r="J193" s="3" t="s">
        <v>96</v>
      </c>
      <c r="K193" s="3">
        <v>10</v>
      </c>
      <c r="L193" s="6" t="s">
        <v>208</v>
      </c>
      <c r="M193" s="3">
        <v>-69</v>
      </c>
      <c r="N193" s="3">
        <f t="shared" si="18"/>
        <v>-0.69</v>
      </c>
      <c r="O193" s="3">
        <v>1</v>
      </c>
      <c r="P193" s="3">
        <v>0.01</v>
      </c>
      <c r="Q193" s="17">
        <v>0.1080833333333333</v>
      </c>
      <c r="R193" s="21">
        <v>0.39664633926506992</v>
      </c>
      <c r="S193" s="3">
        <v>11</v>
      </c>
      <c r="T193" s="3">
        <v>430.06</v>
      </c>
      <c r="U193" s="3">
        <v>484.24</v>
      </c>
      <c r="V193" s="26">
        <v>0.46085859138376001</v>
      </c>
      <c r="W193" s="18">
        <v>2.0075953497914898</v>
      </c>
      <c r="X193" s="18">
        <v>1.81403094453469</v>
      </c>
      <c r="Y193" s="18">
        <v>-0.63769120560786396</v>
      </c>
      <c r="Z193" s="18">
        <v>0.82188375055759999</v>
      </c>
      <c r="AA193" s="18">
        <v>0.415646286002615</v>
      </c>
      <c r="AB193" s="18">
        <v>-0.34676886431533999</v>
      </c>
      <c r="AC193" s="18">
        <v>-0.96583103308112705</v>
      </c>
      <c r="AD193" s="18">
        <v>-0.111055480893281</v>
      </c>
      <c r="AE193" s="21">
        <v>-1.1943889507025001</v>
      </c>
      <c r="AF193" s="3">
        <v>1.5737000000000001</v>
      </c>
      <c r="AG193" s="3">
        <v>0.111883</v>
      </c>
      <c r="AH193" s="3">
        <v>3.8198799999999999</v>
      </c>
      <c r="AI193" s="3">
        <v>59.623199999999997</v>
      </c>
      <c r="AJ193" s="3">
        <v>0.62494000000000005</v>
      </c>
      <c r="AK193" s="3">
        <v>0.66509600000000002</v>
      </c>
      <c r="AL193" s="3">
        <v>0.310307</v>
      </c>
      <c r="AM193" s="3">
        <v>9.7100800000000001E-2</v>
      </c>
      <c r="AN193" s="3">
        <v>7.7456100000000001</v>
      </c>
      <c r="AO193" s="3">
        <v>48.6295</v>
      </c>
      <c r="AP193" s="3">
        <v>0.54410999999999998</v>
      </c>
      <c r="AQ193" s="3">
        <v>0.396509</v>
      </c>
      <c r="AR193" s="3">
        <v>3.5242</v>
      </c>
      <c r="AS193" s="3">
        <v>0.12273100000000001</v>
      </c>
      <c r="AT193" s="3">
        <v>3.0478800000000001</v>
      </c>
      <c r="AU193" s="3">
        <v>3.47987</v>
      </c>
      <c r="AV193" s="3">
        <v>0.23186799999999999</v>
      </c>
      <c r="AW193" s="3">
        <v>2.12113</v>
      </c>
      <c r="AX193" s="3">
        <v>1.81751</v>
      </c>
      <c r="AY193" s="3">
        <v>0.46968700000000002</v>
      </c>
      <c r="AZ193" s="21">
        <v>4.8765299999999998</v>
      </c>
      <c r="BA193" s="3">
        <v>54.177999999999997</v>
      </c>
      <c r="BB193" s="3">
        <v>10</v>
      </c>
    </row>
    <row r="194" spans="1:54" s="3" customFormat="1" ht="78.75" customHeight="1" x14ac:dyDescent="0.25">
      <c r="A194" s="2">
        <v>192</v>
      </c>
      <c r="B194" s="3">
        <v>4</v>
      </c>
      <c r="C194" s="2">
        <v>2</v>
      </c>
      <c r="D194" s="9">
        <v>81</v>
      </c>
      <c r="E194" s="3" t="s">
        <v>53</v>
      </c>
      <c r="F194" s="3">
        <f t="shared" si="25"/>
        <v>2</v>
      </c>
      <c r="G194" s="11" t="s">
        <v>84</v>
      </c>
      <c r="H194" s="3" t="s">
        <v>84</v>
      </c>
      <c r="I194" s="3">
        <f t="shared" si="17"/>
        <v>3</v>
      </c>
      <c r="J194" s="3" t="s">
        <v>85</v>
      </c>
      <c r="K194" s="3">
        <v>1</v>
      </c>
      <c r="L194" s="6" t="s">
        <v>156</v>
      </c>
      <c r="M194" s="3">
        <v>-54</v>
      </c>
      <c r="N194" s="3">
        <f t="shared" si="18"/>
        <v>-0.54</v>
      </c>
      <c r="O194" s="3">
        <v>4</v>
      </c>
      <c r="P194" s="3">
        <v>0.04</v>
      </c>
      <c r="Q194" s="17">
        <v>-0.1130952380952381</v>
      </c>
      <c r="R194" s="21">
        <v>0.44027183161574812</v>
      </c>
      <c r="S194" s="3">
        <v>2</v>
      </c>
      <c r="T194" s="3">
        <v>46.34</v>
      </c>
      <c r="U194" s="3">
        <v>79.849999999999994</v>
      </c>
      <c r="V194" s="26">
        <v>-0.60295722161466603</v>
      </c>
      <c r="W194" s="18">
        <v>-1.1172836113375799</v>
      </c>
      <c r="X194" s="18">
        <v>-0.39776554566504002</v>
      </c>
      <c r="Y194" s="18">
        <v>1.1914237850087499</v>
      </c>
      <c r="Z194" s="18">
        <v>-0.86655921561123905</v>
      </c>
      <c r="AA194" s="18">
        <v>-0.73471533094502905</v>
      </c>
      <c r="AB194" s="18">
        <v>-0.364508034216042</v>
      </c>
      <c r="AC194" s="18">
        <v>-1.3292009775873299</v>
      </c>
      <c r="AD194" s="18">
        <v>0.31355159718736503</v>
      </c>
      <c r="AE194" s="21">
        <v>0.27209122237083699</v>
      </c>
      <c r="AF194" s="3">
        <v>1.1469499999999999</v>
      </c>
      <c r="AG194" s="3">
        <v>0.125167</v>
      </c>
      <c r="AH194" s="3">
        <v>3.89438</v>
      </c>
      <c r="AI194" s="3">
        <v>59.892499999999998</v>
      </c>
      <c r="AJ194" s="3">
        <v>0.71826100000000004</v>
      </c>
      <c r="AK194" s="3">
        <v>1.0908199999999999</v>
      </c>
      <c r="AL194" s="3">
        <v>0</v>
      </c>
      <c r="AM194" s="3">
        <v>1.41066E-2</v>
      </c>
      <c r="AN194" s="3">
        <v>-0.46321000000000001</v>
      </c>
      <c r="AO194" s="3">
        <v>55.698900000000002</v>
      </c>
      <c r="AP194" s="3">
        <v>0.48741200000000001</v>
      </c>
      <c r="AQ194" s="3">
        <v>-0.37897700000000001</v>
      </c>
      <c r="AR194" s="3">
        <v>0</v>
      </c>
      <c r="AS194" s="3">
        <v>4.6209500000000001E-2</v>
      </c>
      <c r="AT194" s="3">
        <v>-1.03925</v>
      </c>
      <c r="AU194" s="3">
        <v>3.7634400000000001</v>
      </c>
      <c r="AV194" s="3">
        <v>0.139236</v>
      </c>
      <c r="AW194" s="3">
        <v>0.71741699999999997</v>
      </c>
      <c r="AX194" s="3">
        <v>0</v>
      </c>
      <c r="AY194" s="3">
        <v>0</v>
      </c>
      <c r="AZ194" s="21">
        <v>-0.61858800000000003</v>
      </c>
      <c r="BA194" s="3">
        <v>33.51</v>
      </c>
      <c r="BB194" s="3">
        <v>1</v>
      </c>
    </row>
    <row r="195" spans="1:54" s="3" customFormat="1" ht="63" customHeight="1" x14ac:dyDescent="0.25">
      <c r="A195" s="2">
        <v>193</v>
      </c>
      <c r="B195" s="3">
        <v>4</v>
      </c>
      <c r="C195" s="2">
        <v>2</v>
      </c>
      <c r="D195" s="9">
        <v>81</v>
      </c>
      <c r="E195" s="3" t="s">
        <v>53</v>
      </c>
      <c r="F195" s="3">
        <f t="shared" si="25"/>
        <v>2</v>
      </c>
      <c r="G195" s="11"/>
      <c r="H195" s="3" t="s">
        <v>84</v>
      </c>
      <c r="I195" s="3">
        <f t="shared" ref="I195:I258" si="26">IF(OR(H195="HM1",H195="SM1"),1, IF(OR(H195="HM2",H195="SM2"),2,IF(OR(H195="HM3",H195="SM3"),3 )))</f>
        <v>3</v>
      </c>
      <c r="J195" s="3" t="s">
        <v>86</v>
      </c>
      <c r="K195" s="3">
        <v>2</v>
      </c>
      <c r="L195" s="6" t="s">
        <v>148</v>
      </c>
      <c r="M195" s="3">
        <v>-54</v>
      </c>
      <c r="N195" s="3">
        <f t="shared" ref="N195:N258" si="27">M195/100</f>
        <v>-0.54</v>
      </c>
      <c r="O195" s="3">
        <v>4</v>
      </c>
      <c r="P195" s="3">
        <v>0.04</v>
      </c>
      <c r="Q195" s="17">
        <v>-4.2291666666666672E-2</v>
      </c>
      <c r="R195" s="21">
        <v>0.28865378387342239</v>
      </c>
      <c r="S195" s="3">
        <v>3</v>
      </c>
      <c r="T195" s="3">
        <v>79.849999999999994</v>
      </c>
      <c r="U195" s="3">
        <v>104.54</v>
      </c>
      <c r="V195" s="26">
        <v>-2.52263167902631E-2</v>
      </c>
      <c r="W195" s="18">
        <v>0.50201862016149901</v>
      </c>
      <c r="X195" s="18">
        <v>9.8520793557048306E-2</v>
      </c>
      <c r="Y195" s="18">
        <v>1.6489491379577701</v>
      </c>
      <c r="Z195" s="18">
        <v>-1.5329101346495699</v>
      </c>
      <c r="AA195" s="18">
        <v>-1.2472794654655499</v>
      </c>
      <c r="AB195" s="18">
        <v>0.78111132336641897</v>
      </c>
      <c r="AC195" s="18">
        <v>6.8048047008608503E-2</v>
      </c>
      <c r="AD195" s="18">
        <v>-0.83726225322272396</v>
      </c>
      <c r="AE195" s="21">
        <v>0.33101827955369301</v>
      </c>
      <c r="AF195" s="3">
        <v>0</v>
      </c>
      <c r="AG195" s="3">
        <v>0.34495700000000001</v>
      </c>
      <c r="AH195" s="3">
        <v>0.101761</v>
      </c>
      <c r="AI195" s="3">
        <v>59.3187</v>
      </c>
      <c r="AJ195" s="3">
        <v>0.173452</v>
      </c>
      <c r="AK195" s="3">
        <v>-1.6177999999999999</v>
      </c>
      <c r="AL195" s="3">
        <v>0</v>
      </c>
      <c r="AM195" s="3">
        <v>0</v>
      </c>
      <c r="AN195" s="3">
        <v>-0.47043299999999999</v>
      </c>
      <c r="AO195" s="3">
        <v>57.907499999999999</v>
      </c>
      <c r="AP195" s="3">
        <v>0.53624899999999998</v>
      </c>
      <c r="AQ195" s="3">
        <v>0.21691199999999999</v>
      </c>
      <c r="AR195" s="3">
        <v>2.72506</v>
      </c>
      <c r="AS195" s="3">
        <v>4.1633299999999998E-2</v>
      </c>
      <c r="AT195" s="3">
        <v>1.8465499999999999</v>
      </c>
      <c r="AU195" s="3">
        <v>7.0559599999999998</v>
      </c>
      <c r="AV195" s="3">
        <v>0.58372199999999996</v>
      </c>
      <c r="AW195" s="3">
        <v>1.20923</v>
      </c>
      <c r="AX195" s="3">
        <v>0</v>
      </c>
      <c r="AY195" s="3">
        <v>0.18993499999999999</v>
      </c>
      <c r="AZ195" s="21">
        <v>-0.18449399999999999</v>
      </c>
      <c r="BA195" s="3">
        <v>24.683</v>
      </c>
      <c r="BB195" s="3">
        <v>2</v>
      </c>
    </row>
    <row r="196" spans="1:54" s="3" customFormat="1" ht="63" customHeight="1" x14ac:dyDescent="0.25">
      <c r="A196" s="2">
        <v>194</v>
      </c>
      <c r="B196" s="3">
        <v>4</v>
      </c>
      <c r="C196" s="2">
        <v>2</v>
      </c>
      <c r="D196" s="9">
        <v>81</v>
      </c>
      <c r="E196" s="3" t="s">
        <v>53</v>
      </c>
      <c r="F196" s="3">
        <f t="shared" si="25"/>
        <v>2</v>
      </c>
      <c r="G196" s="11"/>
      <c r="H196" s="3" t="s">
        <v>84</v>
      </c>
      <c r="I196" s="3">
        <f t="shared" si="26"/>
        <v>3</v>
      </c>
      <c r="J196" s="3" t="s">
        <v>87</v>
      </c>
      <c r="K196" s="3">
        <v>3</v>
      </c>
      <c r="L196" s="6" t="s">
        <v>156</v>
      </c>
      <c r="M196" s="3">
        <v>-54</v>
      </c>
      <c r="N196" s="3">
        <f t="shared" si="27"/>
        <v>-0.54</v>
      </c>
      <c r="O196" s="3">
        <v>4</v>
      </c>
      <c r="P196" s="3">
        <v>0.04</v>
      </c>
      <c r="Q196" s="17">
        <v>-7.9166666666666649E-2</v>
      </c>
      <c r="R196" s="21">
        <v>0.16962649600857799</v>
      </c>
      <c r="S196" s="3">
        <v>4</v>
      </c>
      <c r="T196" s="3">
        <v>104.54</v>
      </c>
      <c r="U196" s="3">
        <v>138.86000000000001</v>
      </c>
      <c r="V196" s="26">
        <v>-1.2099781446215201</v>
      </c>
      <c r="W196" s="18">
        <v>-0.82992046419822296</v>
      </c>
      <c r="X196" s="18">
        <v>-0.89792763939307396</v>
      </c>
      <c r="Y196" s="18">
        <v>1.3053844436253399</v>
      </c>
      <c r="Z196" s="18">
        <v>-0.98771392816366099</v>
      </c>
      <c r="AA196" s="18">
        <v>-0.35739239286791602</v>
      </c>
      <c r="AB196" s="18">
        <v>0.54604610307935597</v>
      </c>
      <c r="AC196" s="18">
        <v>1.28638103796726</v>
      </c>
      <c r="AD196" s="18">
        <v>1.8555186346778101</v>
      </c>
      <c r="AE196" s="21">
        <v>0.197093149592657</v>
      </c>
      <c r="AF196" s="3">
        <v>0</v>
      </c>
      <c r="AG196" s="3">
        <v>0.42289199999999999</v>
      </c>
      <c r="AH196" s="3">
        <v>0.38375500000000001</v>
      </c>
      <c r="AI196" s="3">
        <v>59.545200000000001</v>
      </c>
      <c r="AJ196" s="3">
        <v>0.75481600000000004</v>
      </c>
      <c r="AK196" s="3">
        <v>-0.44787199999999999</v>
      </c>
      <c r="AL196" s="3">
        <v>0</v>
      </c>
      <c r="AM196" s="3">
        <v>0.130019</v>
      </c>
      <c r="AN196" s="3">
        <v>-0.29241800000000001</v>
      </c>
      <c r="AO196" s="3">
        <v>59.160299999999999</v>
      </c>
      <c r="AP196" s="3">
        <v>0.416939</v>
      </c>
      <c r="AQ196" s="3">
        <v>-7.8920799999999999E-2</v>
      </c>
      <c r="AR196" s="3">
        <v>0.20991299999999999</v>
      </c>
      <c r="AS196" s="3">
        <v>4.5607000000000002E-2</v>
      </c>
      <c r="AT196" s="3">
        <v>1.95885</v>
      </c>
      <c r="AU196" s="3">
        <v>22.705500000000001</v>
      </c>
      <c r="AV196" s="3">
        <v>8.5216799999999995E-2</v>
      </c>
      <c r="AW196" s="3">
        <v>0.49427300000000002</v>
      </c>
      <c r="AX196" s="3">
        <v>0.27988299999999999</v>
      </c>
      <c r="AY196" s="3">
        <v>0.139156</v>
      </c>
      <c r="AZ196" s="21">
        <v>3.68832</v>
      </c>
      <c r="BA196" s="3">
        <v>34.320999999999998</v>
      </c>
      <c r="BB196" s="3">
        <v>3</v>
      </c>
    </row>
    <row r="197" spans="1:54" s="3" customFormat="1" ht="31.5" customHeight="1" x14ac:dyDescent="0.25">
      <c r="A197" s="2">
        <v>195</v>
      </c>
      <c r="B197" s="3">
        <v>4</v>
      </c>
      <c r="C197" s="2">
        <v>2</v>
      </c>
      <c r="D197" s="9">
        <v>81</v>
      </c>
      <c r="E197" s="3" t="s">
        <v>53</v>
      </c>
      <c r="F197" s="3">
        <f t="shared" si="25"/>
        <v>2</v>
      </c>
      <c r="G197" s="11"/>
      <c r="H197" s="3" t="s">
        <v>84</v>
      </c>
      <c r="I197" s="3">
        <f t="shared" si="26"/>
        <v>3</v>
      </c>
      <c r="J197" s="3" t="s">
        <v>88</v>
      </c>
      <c r="K197" s="3">
        <v>4</v>
      </c>
      <c r="L197" s="6" t="s">
        <v>151</v>
      </c>
      <c r="M197" s="3">
        <v>-54</v>
      </c>
      <c r="N197" s="3">
        <f t="shared" si="27"/>
        <v>-0.54</v>
      </c>
      <c r="O197" s="3">
        <v>4</v>
      </c>
      <c r="P197" s="3">
        <v>0.04</v>
      </c>
      <c r="Q197" s="17">
        <v>-2.5000000000000001E-2</v>
      </c>
      <c r="R197" s="21">
        <v>2.5000000000000001E-2</v>
      </c>
      <c r="S197" s="3">
        <v>5</v>
      </c>
      <c r="T197" s="3">
        <v>138.86000000000001</v>
      </c>
      <c r="U197" s="3">
        <v>156.56</v>
      </c>
      <c r="V197" s="26">
        <v>-0.18525097837822599</v>
      </c>
      <c r="W197" s="18">
        <v>0.239162860330661</v>
      </c>
      <c r="X197" s="18">
        <v>1.2158939171682099</v>
      </c>
      <c r="Y197" s="18">
        <v>-0.51769597036391002</v>
      </c>
      <c r="Z197" s="18">
        <v>1.20815490083679</v>
      </c>
      <c r="AA197" s="18">
        <v>0.64231053124176996</v>
      </c>
      <c r="AB197" s="18">
        <v>-1.8863845217976201</v>
      </c>
      <c r="AC197" s="18">
        <v>-1.2337790929807699</v>
      </c>
      <c r="AD197" s="18">
        <v>0.43552963052689497</v>
      </c>
      <c r="AE197" s="21">
        <v>0.10066705602071099</v>
      </c>
      <c r="AF197" s="3">
        <v>0</v>
      </c>
      <c r="AG197" s="3">
        <v>0.36233399999999999</v>
      </c>
      <c r="AH197" s="3">
        <v>0.27465699999999998</v>
      </c>
      <c r="AI197" s="3">
        <v>60</v>
      </c>
      <c r="AJ197" s="3">
        <v>0.69075399999999998</v>
      </c>
      <c r="AK197" s="3">
        <v>3.07003E-2</v>
      </c>
      <c r="AL197" s="3">
        <v>0</v>
      </c>
      <c r="AM197" s="3">
        <v>0.19900300000000001</v>
      </c>
      <c r="AN197" s="3">
        <v>-0.14302400000000001</v>
      </c>
      <c r="AO197" s="3">
        <v>58.981900000000003</v>
      </c>
      <c r="AP197" s="3">
        <v>0.24218899999999999</v>
      </c>
      <c r="AQ197" s="3">
        <v>-0.75298299999999996</v>
      </c>
      <c r="AR197" s="3">
        <v>0.47511300000000001</v>
      </c>
      <c r="AS197" s="3">
        <v>0.17873900000000001</v>
      </c>
      <c r="AT197" s="3">
        <v>2.3866499999999999</v>
      </c>
      <c r="AU197" s="3">
        <v>21.651599999999998</v>
      </c>
      <c r="AV197" s="3">
        <v>4.49197E-2</v>
      </c>
      <c r="AW197" s="3">
        <v>0.38062200000000002</v>
      </c>
      <c r="AX197" s="3">
        <v>0</v>
      </c>
      <c r="AY197" s="3">
        <v>8.2872100000000004E-2</v>
      </c>
      <c r="AZ197" s="21">
        <v>-0.41105599999999998</v>
      </c>
      <c r="BA197" s="3">
        <v>17.704000000000001</v>
      </c>
      <c r="BB197" s="3">
        <v>4</v>
      </c>
    </row>
    <row r="198" spans="1:54" s="3" customFormat="1" ht="31.5" customHeight="1" x14ac:dyDescent="0.25">
      <c r="A198" s="2">
        <v>196</v>
      </c>
      <c r="B198" s="3">
        <v>4</v>
      </c>
      <c r="C198" s="2">
        <v>2</v>
      </c>
      <c r="D198" s="9">
        <v>81</v>
      </c>
      <c r="E198" s="3" t="s">
        <v>53</v>
      </c>
      <c r="F198" s="3">
        <f t="shared" si="25"/>
        <v>2</v>
      </c>
      <c r="G198" s="11"/>
      <c r="H198" s="3" t="s">
        <v>84</v>
      </c>
      <c r="I198" s="3">
        <f t="shared" si="26"/>
        <v>3</v>
      </c>
      <c r="J198" s="3" t="s">
        <v>89</v>
      </c>
      <c r="K198" s="3">
        <v>5</v>
      </c>
      <c r="L198" s="6" t="s">
        <v>151</v>
      </c>
      <c r="M198" s="3">
        <v>-54</v>
      </c>
      <c r="N198" s="3">
        <f t="shared" si="27"/>
        <v>-0.54</v>
      </c>
      <c r="O198" s="3">
        <v>4</v>
      </c>
      <c r="P198" s="3">
        <v>0.04</v>
      </c>
      <c r="Q198" s="17">
        <v>-0.11</v>
      </c>
      <c r="R198" s="21">
        <v>0.26870057685088811</v>
      </c>
      <c r="S198" s="3">
        <v>7</v>
      </c>
      <c r="T198" s="3">
        <v>163.69</v>
      </c>
      <c r="U198" s="3">
        <v>181.87</v>
      </c>
      <c r="V198" s="26">
        <v>0.93702724038998797</v>
      </c>
      <c r="W198" s="18">
        <v>2.2650164561771899</v>
      </c>
      <c r="X198" s="18">
        <v>0.40747708153253298</v>
      </c>
      <c r="Y198" s="18">
        <v>0.27167307231439902</v>
      </c>
      <c r="Z198" s="18">
        <v>0.38251690951838102</v>
      </c>
      <c r="AA198" s="18">
        <v>0.53276516212260705</v>
      </c>
      <c r="AB198" s="18">
        <v>0.65799808919910097</v>
      </c>
      <c r="AC198" s="18">
        <v>0.94644057405641802</v>
      </c>
      <c r="AD198" s="18">
        <v>0.52045104614302395</v>
      </c>
      <c r="AE198" s="21">
        <v>0.75957869542900602</v>
      </c>
      <c r="AF198" s="3">
        <v>0</v>
      </c>
      <c r="AG198" s="3">
        <v>0.25862200000000002</v>
      </c>
      <c r="AH198" s="3">
        <v>-0.216779</v>
      </c>
      <c r="AI198" s="3">
        <v>60</v>
      </c>
      <c r="AJ198" s="3">
        <v>0.47014299999999998</v>
      </c>
      <c r="AK198" s="3">
        <v>0.68340699999999999</v>
      </c>
      <c r="AL198" s="3">
        <v>0</v>
      </c>
      <c r="AM198" s="3">
        <v>0.15964500000000001</v>
      </c>
      <c r="AN198" s="3">
        <v>-0.174956</v>
      </c>
      <c r="AO198" s="3">
        <v>54.3172</v>
      </c>
      <c r="AP198" s="3">
        <v>0.38096099999999999</v>
      </c>
      <c r="AQ198" s="3">
        <v>1.00325</v>
      </c>
      <c r="AR198" s="3">
        <v>4.4933899999999998</v>
      </c>
      <c r="AS198" s="3">
        <v>4.58222E-2</v>
      </c>
      <c r="AT198" s="3">
        <v>1.90374</v>
      </c>
      <c r="AU198" s="3">
        <v>13.149800000000001</v>
      </c>
      <c r="AV198" s="3">
        <v>0.21344199999999999</v>
      </c>
      <c r="AW198" s="3">
        <v>0.79086100000000004</v>
      </c>
      <c r="AX198" s="3">
        <v>1.5198199999999999</v>
      </c>
      <c r="AY198" s="3">
        <v>0.21601400000000001</v>
      </c>
      <c r="AZ198" s="21">
        <v>4.0429899999999996</v>
      </c>
      <c r="BA198" s="3">
        <v>18.177</v>
      </c>
      <c r="BB198" s="3">
        <v>5</v>
      </c>
    </row>
    <row r="199" spans="1:54" s="3" customFormat="1" ht="31.5" customHeight="1" x14ac:dyDescent="0.25">
      <c r="A199" s="2">
        <v>197</v>
      </c>
      <c r="B199" s="3">
        <v>4</v>
      </c>
      <c r="C199" s="2">
        <v>2</v>
      </c>
      <c r="D199" s="9">
        <v>81</v>
      </c>
      <c r="E199" s="3" t="s">
        <v>53</v>
      </c>
      <c r="F199" s="3">
        <f t="shared" si="25"/>
        <v>2</v>
      </c>
      <c r="G199" s="11"/>
      <c r="H199" s="3" t="s">
        <v>84</v>
      </c>
      <c r="I199" s="3">
        <f t="shared" si="26"/>
        <v>3</v>
      </c>
      <c r="J199" s="3" t="s">
        <v>90</v>
      </c>
      <c r="K199" s="3">
        <v>6</v>
      </c>
      <c r="L199" s="6" t="s">
        <v>169</v>
      </c>
      <c r="M199" s="3">
        <v>-54</v>
      </c>
      <c r="N199" s="3">
        <f t="shared" si="27"/>
        <v>-0.54</v>
      </c>
      <c r="O199" s="3">
        <v>4</v>
      </c>
      <c r="P199" s="3">
        <v>0.04</v>
      </c>
      <c r="Q199" s="17">
        <v>0.33750000000000002</v>
      </c>
      <c r="R199" s="21">
        <v>8.8388347648318405E-2</v>
      </c>
      <c r="S199" s="3">
        <v>8</v>
      </c>
      <c r="T199" s="3">
        <v>181.87</v>
      </c>
      <c r="U199" s="3">
        <v>192.44</v>
      </c>
      <c r="V199" s="26">
        <v>-0.47889223295190197</v>
      </c>
      <c r="W199" s="18">
        <v>-0.64294406537758897</v>
      </c>
      <c r="X199" s="18">
        <v>-0.41185972117553599</v>
      </c>
      <c r="Y199" s="18">
        <v>1.7337813593923199</v>
      </c>
      <c r="Z199" s="18">
        <v>-0.92411977127608502</v>
      </c>
      <c r="AA199" s="18">
        <v>-0.34174949447929398</v>
      </c>
      <c r="AB199" s="18">
        <v>0.63902821133878096</v>
      </c>
      <c r="AC199" s="18">
        <v>-1.7509316283037799</v>
      </c>
      <c r="AD199" s="18">
        <v>-1.53773526324425</v>
      </c>
      <c r="AE199" s="21">
        <v>0.87475430719549596</v>
      </c>
      <c r="AF199" s="3">
        <v>0</v>
      </c>
      <c r="AG199" s="3">
        <v>0.242095</v>
      </c>
      <c r="AH199" s="3">
        <v>-0.14443700000000001</v>
      </c>
      <c r="AI199" s="3">
        <v>59.659100000000002</v>
      </c>
      <c r="AJ199" s="3">
        <v>0.46648400000000001</v>
      </c>
      <c r="AK199" s="3">
        <v>-0.14105000000000001</v>
      </c>
      <c r="AL199" s="3">
        <v>0</v>
      </c>
      <c r="AM199" s="3">
        <v>8.1622399999999998E-2</v>
      </c>
      <c r="AN199" s="3">
        <v>-0.37678899999999999</v>
      </c>
      <c r="AO199" s="3">
        <v>59.090899999999998</v>
      </c>
      <c r="AP199" s="3">
        <v>0.27158599999999999</v>
      </c>
      <c r="AQ199" s="3">
        <v>-0.71633400000000003</v>
      </c>
      <c r="AR199" s="3">
        <v>1.36364</v>
      </c>
      <c r="AS199" s="3">
        <v>7.78499E-2</v>
      </c>
      <c r="AT199" s="3">
        <v>1.91517</v>
      </c>
      <c r="AU199" s="3">
        <v>25.113600000000002</v>
      </c>
      <c r="AV199" s="3">
        <v>0.20138900000000001</v>
      </c>
      <c r="AW199" s="3">
        <v>0.81159899999999996</v>
      </c>
      <c r="AX199" s="3">
        <v>0</v>
      </c>
      <c r="AY199" s="3">
        <v>0.139178</v>
      </c>
      <c r="AZ199" s="21">
        <v>-0.33573199999999997</v>
      </c>
      <c r="BA199" s="3">
        <v>10.576000000000001</v>
      </c>
      <c r="BB199" s="3">
        <v>6</v>
      </c>
    </row>
    <row r="200" spans="1:54" s="3" customFormat="1" ht="31.5" customHeight="1" x14ac:dyDescent="0.25">
      <c r="A200" s="2">
        <v>198</v>
      </c>
      <c r="B200" s="3">
        <v>4</v>
      </c>
      <c r="C200" s="2">
        <v>2</v>
      </c>
      <c r="D200" s="9">
        <v>81</v>
      </c>
      <c r="E200" s="3" t="s">
        <v>53</v>
      </c>
      <c r="F200" s="3">
        <f t="shared" si="25"/>
        <v>2</v>
      </c>
      <c r="G200" s="11"/>
      <c r="H200" s="3" t="s">
        <v>84</v>
      </c>
      <c r="I200" s="3">
        <f t="shared" si="26"/>
        <v>3</v>
      </c>
      <c r="J200" s="3" t="s">
        <v>91</v>
      </c>
      <c r="K200" s="3">
        <v>7</v>
      </c>
      <c r="L200" s="6" t="s">
        <v>157</v>
      </c>
      <c r="M200" s="3">
        <v>-54</v>
      </c>
      <c r="N200" s="3">
        <f t="shared" si="27"/>
        <v>-0.54</v>
      </c>
      <c r="O200" s="3">
        <v>4</v>
      </c>
      <c r="P200" s="3">
        <v>0.04</v>
      </c>
      <c r="Q200" s="17">
        <v>-0.21666666666666659</v>
      </c>
      <c r="R200" s="21">
        <v>0.3752776749732567</v>
      </c>
      <c r="S200" s="3">
        <v>10</v>
      </c>
      <c r="T200" s="3">
        <v>198.46</v>
      </c>
      <c r="U200" s="3">
        <v>212.53</v>
      </c>
      <c r="V200" s="26">
        <v>-1.35344041841796</v>
      </c>
      <c r="W200" s="18">
        <v>-0.21395253990298299</v>
      </c>
      <c r="X200" s="18">
        <v>-1.2492009561656801</v>
      </c>
      <c r="Y200" s="18">
        <v>-0.12446206840633001</v>
      </c>
      <c r="Z200" s="18">
        <v>-2.2670787314313898</v>
      </c>
      <c r="AA200" s="18">
        <v>-2.4557046360862298</v>
      </c>
      <c r="AB200" s="18">
        <v>5.41873012871458E-2</v>
      </c>
      <c r="AC200" s="18">
        <v>1.8197212144288799</v>
      </c>
      <c r="AD200" s="18">
        <v>-0.956152235085305</v>
      </c>
      <c r="AE200" s="21">
        <v>0.88278981499315801</v>
      </c>
      <c r="AF200" s="3">
        <v>0.59743999999999997</v>
      </c>
      <c r="AG200" s="3">
        <v>0.116456</v>
      </c>
      <c r="AH200" s="3">
        <v>4.9977099999999997</v>
      </c>
      <c r="AI200" s="3">
        <v>60</v>
      </c>
      <c r="AJ200" s="3">
        <v>0.403279</v>
      </c>
      <c r="AK200" s="3">
        <v>0.75934400000000002</v>
      </c>
      <c r="AL200" s="3">
        <v>0</v>
      </c>
      <c r="AM200" s="3">
        <v>0.26330999999999999</v>
      </c>
      <c r="AN200" s="3">
        <v>1.00167E-2</v>
      </c>
      <c r="AO200" s="3">
        <v>40.028399999999998</v>
      </c>
      <c r="AP200" s="3">
        <v>0.23518</v>
      </c>
      <c r="AQ200" s="3">
        <v>-0.615784</v>
      </c>
      <c r="AR200" s="3">
        <v>0</v>
      </c>
      <c r="AS200" s="3">
        <v>0.26048100000000002</v>
      </c>
      <c r="AT200" s="3">
        <v>-0.78968400000000005</v>
      </c>
      <c r="AU200" s="3">
        <v>1.6216200000000001</v>
      </c>
      <c r="AV200" s="3">
        <v>0.13367000000000001</v>
      </c>
      <c r="AW200" s="3">
        <v>0.74535200000000001</v>
      </c>
      <c r="AX200" s="3">
        <v>2.3044099999999998</v>
      </c>
      <c r="AY200" s="3">
        <v>0.37363099999999999</v>
      </c>
      <c r="AZ200" s="21">
        <v>5.4323300000000003</v>
      </c>
      <c r="BA200" s="3">
        <v>14.068</v>
      </c>
      <c r="BB200" s="3">
        <v>7</v>
      </c>
    </row>
    <row r="201" spans="1:54" s="3" customFormat="1" ht="110.25" customHeight="1" x14ac:dyDescent="0.25">
      <c r="A201" s="2">
        <v>199</v>
      </c>
      <c r="B201" s="3">
        <v>5</v>
      </c>
      <c r="C201" s="2">
        <v>1</v>
      </c>
      <c r="D201" s="9">
        <v>79</v>
      </c>
      <c r="E201" s="3" t="s">
        <v>53</v>
      </c>
      <c r="F201" s="3">
        <f>IF(E212="Happy", 1,2)</f>
        <v>2</v>
      </c>
      <c r="G201" s="11" t="s">
        <v>54</v>
      </c>
      <c r="H201" s="3" t="s">
        <v>54</v>
      </c>
      <c r="I201" s="3">
        <f t="shared" si="26"/>
        <v>1</v>
      </c>
      <c r="J201" s="3" t="s">
        <v>55</v>
      </c>
      <c r="K201" s="3">
        <v>1</v>
      </c>
      <c r="L201" s="6" t="s">
        <v>189</v>
      </c>
      <c r="M201" s="3">
        <v>-40</v>
      </c>
      <c r="N201" s="3">
        <f t="shared" si="27"/>
        <v>-0.4</v>
      </c>
      <c r="O201" s="3">
        <v>1</v>
      </c>
      <c r="P201" s="3">
        <v>0.01</v>
      </c>
      <c r="Q201" s="17">
        <v>-4.6093749999999982E-2</v>
      </c>
      <c r="R201" s="21">
        <v>0.44824729975881777</v>
      </c>
      <c r="S201" s="3">
        <v>2</v>
      </c>
      <c r="T201" s="3">
        <v>18.96</v>
      </c>
      <c r="U201" s="3">
        <v>81.38</v>
      </c>
      <c r="V201" s="26">
        <v>-0.66409686192353801</v>
      </c>
      <c r="W201" s="18">
        <v>-0.62086958175548301</v>
      </c>
      <c r="X201" s="18">
        <v>1.13330580239776</v>
      </c>
      <c r="Y201" s="18">
        <v>-4.3958817248325899E-2</v>
      </c>
      <c r="Z201" s="18">
        <v>-0.27788017248005997</v>
      </c>
      <c r="AA201" s="18">
        <v>-0.31412324025755001</v>
      </c>
      <c r="AB201" s="18">
        <v>-0.69629566439246704</v>
      </c>
      <c r="AC201" s="18">
        <v>-0.949751547959929</v>
      </c>
      <c r="AD201" s="18">
        <v>-0.83933540245187199</v>
      </c>
      <c r="AE201" s="21">
        <v>1.7375126381902199</v>
      </c>
      <c r="AF201" s="3">
        <v>8.0769199999999994</v>
      </c>
      <c r="AG201" s="3">
        <v>0.27008399999999999</v>
      </c>
      <c r="AH201" s="3">
        <v>3.4303900000000001</v>
      </c>
      <c r="AI201" s="3">
        <v>57.019199999999998</v>
      </c>
      <c r="AJ201" s="3">
        <v>0.47552699999999998</v>
      </c>
      <c r="AK201" s="3">
        <v>-0.31666899999999998</v>
      </c>
      <c r="AL201" s="3">
        <v>0</v>
      </c>
      <c r="AM201" s="3">
        <v>1.4411500000000001E-2</v>
      </c>
      <c r="AN201" s="3">
        <v>-0.44248700000000002</v>
      </c>
      <c r="AO201" s="3">
        <v>0</v>
      </c>
      <c r="AP201" s="3">
        <v>0.20921100000000001</v>
      </c>
      <c r="AQ201" s="3">
        <v>0.55824399999999996</v>
      </c>
      <c r="AR201" s="3">
        <v>0</v>
      </c>
      <c r="AS201" s="3">
        <v>9.1791300000000006E-2</v>
      </c>
      <c r="AT201" s="3">
        <v>1.4307399999999999</v>
      </c>
      <c r="AU201" s="3">
        <v>26.3462</v>
      </c>
      <c r="AV201" s="3">
        <v>0.231902</v>
      </c>
      <c r="AW201" s="3">
        <v>0.91399799999999998</v>
      </c>
      <c r="AX201" s="3">
        <v>0</v>
      </c>
      <c r="AY201" s="3">
        <v>3.3362599999999999E-2</v>
      </c>
      <c r="AZ201" s="21">
        <v>-0.68724099999999999</v>
      </c>
      <c r="BA201" s="3">
        <v>62.42</v>
      </c>
      <c r="BB201" s="3">
        <v>1</v>
      </c>
    </row>
    <row r="202" spans="1:54" s="3" customFormat="1" ht="78.75" customHeight="1" x14ac:dyDescent="0.25">
      <c r="A202" s="2">
        <v>200</v>
      </c>
      <c r="B202" s="3">
        <v>5</v>
      </c>
      <c r="C202" s="2">
        <v>1</v>
      </c>
      <c r="D202" s="9">
        <v>79</v>
      </c>
      <c r="E202" s="3" t="s">
        <v>53</v>
      </c>
      <c r="F202" s="3">
        <f>IF(E213="Happy", 1,2)</f>
        <v>2</v>
      </c>
      <c r="G202" s="11"/>
      <c r="H202" s="3" t="s">
        <v>54</v>
      </c>
      <c r="I202" s="3">
        <f t="shared" si="26"/>
        <v>1</v>
      </c>
      <c r="J202" s="3" t="s">
        <v>56</v>
      </c>
      <c r="K202" s="3">
        <v>2</v>
      </c>
      <c r="L202" s="6" t="s">
        <v>216</v>
      </c>
      <c r="M202" s="3">
        <v>-40</v>
      </c>
      <c r="N202" s="3">
        <f t="shared" si="27"/>
        <v>-0.4</v>
      </c>
      <c r="O202" s="3">
        <v>1</v>
      </c>
      <c r="P202" s="3">
        <v>0.01</v>
      </c>
      <c r="Q202" s="17">
        <v>0.1064047619047619</v>
      </c>
      <c r="R202" s="21">
        <v>0.20968051904749571</v>
      </c>
      <c r="S202" s="3">
        <v>4</v>
      </c>
      <c r="T202" s="3">
        <v>82.64</v>
      </c>
      <c r="U202" s="3">
        <v>118.13</v>
      </c>
      <c r="V202" s="26">
        <v>-1.4911182415594799</v>
      </c>
      <c r="W202" s="18">
        <v>-0.94345078340334898</v>
      </c>
      <c r="X202" s="18">
        <v>-1.64402823250084</v>
      </c>
      <c r="Y202" s="18">
        <v>0.78416161474470303</v>
      </c>
      <c r="Z202" s="18">
        <v>-0.46135904106935799</v>
      </c>
      <c r="AA202" s="18">
        <v>-0.43621795290592602</v>
      </c>
      <c r="AB202" s="18">
        <v>-0.434647291832156</v>
      </c>
      <c r="AC202" s="18">
        <v>-0.144992773498584</v>
      </c>
      <c r="AD202" s="18">
        <v>-1.29672104314838</v>
      </c>
      <c r="AE202" s="21">
        <v>0.37912028078455601</v>
      </c>
      <c r="AF202" s="3">
        <v>0</v>
      </c>
      <c r="AG202" s="3">
        <v>0.23726</v>
      </c>
      <c r="AH202" s="3">
        <v>-0.49018299999999998</v>
      </c>
      <c r="AI202" s="3">
        <v>52.288600000000002</v>
      </c>
      <c r="AJ202" s="3">
        <v>0.45887800000000001</v>
      </c>
      <c r="AK202" s="3">
        <v>-0.120573</v>
      </c>
      <c r="AL202" s="3">
        <v>0</v>
      </c>
      <c r="AM202" s="3">
        <v>0.17896100000000001</v>
      </c>
      <c r="AN202" s="3">
        <v>0.68213199999999996</v>
      </c>
      <c r="AO202" s="3">
        <v>0</v>
      </c>
      <c r="AP202" s="3">
        <v>0.188863</v>
      </c>
      <c r="AQ202" s="3">
        <v>-0.80293000000000003</v>
      </c>
      <c r="AR202" s="3">
        <v>0</v>
      </c>
      <c r="AS202" s="3">
        <v>2.0365399999999999E-2</v>
      </c>
      <c r="AT202" s="3">
        <v>-0.372948</v>
      </c>
      <c r="AU202" s="3">
        <v>10.4848</v>
      </c>
      <c r="AV202" s="3">
        <v>8.7668200000000002E-2</v>
      </c>
      <c r="AW202" s="3">
        <v>0.39503500000000003</v>
      </c>
      <c r="AX202" s="3">
        <v>0</v>
      </c>
      <c r="AY202" s="3">
        <v>0</v>
      </c>
      <c r="AZ202" s="21">
        <v>-0.72026599999999996</v>
      </c>
      <c r="BA202" s="3">
        <v>35.49</v>
      </c>
      <c r="BB202" s="3">
        <v>2</v>
      </c>
    </row>
    <row r="203" spans="1:54" s="3" customFormat="1" ht="173.25" customHeight="1" x14ac:dyDescent="0.25">
      <c r="A203" s="2">
        <v>201</v>
      </c>
      <c r="B203" s="3">
        <v>5</v>
      </c>
      <c r="C203" s="2">
        <v>1</v>
      </c>
      <c r="D203" s="9">
        <v>79</v>
      </c>
      <c r="E203" s="3" t="s">
        <v>53</v>
      </c>
      <c r="F203" s="3">
        <f t="shared" ref="F203:F210" si="28">IF(E213="Happy", 1,2)</f>
        <v>2</v>
      </c>
      <c r="G203" s="11"/>
      <c r="H203" s="3" t="s">
        <v>54</v>
      </c>
      <c r="I203" s="3">
        <f t="shared" si="26"/>
        <v>1</v>
      </c>
      <c r="J203" s="3" t="s">
        <v>57</v>
      </c>
      <c r="K203" s="3">
        <v>3</v>
      </c>
      <c r="L203" s="6" t="s">
        <v>226</v>
      </c>
      <c r="M203" s="3">
        <v>-40</v>
      </c>
      <c r="N203" s="3">
        <f t="shared" si="27"/>
        <v>-0.4</v>
      </c>
      <c r="O203" s="3">
        <v>1</v>
      </c>
      <c r="P203" s="3">
        <v>0.01</v>
      </c>
      <c r="Q203" s="17">
        <v>0.229268192125335</v>
      </c>
      <c r="R203" s="21">
        <v>0.34364848228007622</v>
      </c>
      <c r="S203" s="3">
        <v>6</v>
      </c>
      <c r="T203" s="3">
        <v>119.18</v>
      </c>
      <c r="U203" s="3">
        <v>221.8</v>
      </c>
      <c r="V203" s="26">
        <v>0.21762955942616799</v>
      </c>
      <c r="W203" s="18">
        <v>0.222942612599832</v>
      </c>
      <c r="X203" s="18">
        <v>0.12045563260308299</v>
      </c>
      <c r="Y203" s="18">
        <v>0.78473729804813797</v>
      </c>
      <c r="Z203" s="18">
        <v>1.41506889064854</v>
      </c>
      <c r="AA203" s="18">
        <v>1.7173562557353099</v>
      </c>
      <c r="AB203" s="18">
        <v>0.78026387754322102</v>
      </c>
      <c r="AC203" s="18">
        <v>0.56537405355609804</v>
      </c>
      <c r="AD203" s="18">
        <v>-0.510678472586509</v>
      </c>
      <c r="AE203" s="21">
        <v>0.46694737285819898</v>
      </c>
      <c r="AF203" s="3">
        <v>0.105263</v>
      </c>
      <c r="AG203" s="3">
        <v>0.13720399999999999</v>
      </c>
      <c r="AH203" s="3">
        <v>2.7115999999999998</v>
      </c>
      <c r="AI203" s="3">
        <v>58.374299999999998</v>
      </c>
      <c r="AJ203" s="3">
        <v>0.40944900000000001</v>
      </c>
      <c r="AK203" s="3">
        <v>0.45625500000000002</v>
      </c>
      <c r="AL203" s="3">
        <v>0</v>
      </c>
      <c r="AM203" s="3">
        <v>0.16750499999999999</v>
      </c>
      <c r="AN203" s="3">
        <v>0.117385</v>
      </c>
      <c r="AO203" s="3">
        <v>0</v>
      </c>
      <c r="AP203" s="3">
        <v>0.27978500000000001</v>
      </c>
      <c r="AQ203" s="3">
        <v>0.20843200000000001</v>
      </c>
      <c r="AR203" s="3">
        <v>0</v>
      </c>
      <c r="AS203" s="3">
        <v>0</v>
      </c>
      <c r="AT203" s="3">
        <v>-0.40243200000000001</v>
      </c>
      <c r="AU203" s="3">
        <v>11.918100000000001</v>
      </c>
      <c r="AV203" s="3">
        <v>0.20408999999999999</v>
      </c>
      <c r="AW203" s="3">
        <v>0.428979</v>
      </c>
      <c r="AX203" s="3">
        <v>0</v>
      </c>
      <c r="AY203" s="3">
        <v>0.13433</v>
      </c>
      <c r="AZ203" s="21">
        <v>0.65073599999999998</v>
      </c>
      <c r="BA203" s="3">
        <v>102.62</v>
      </c>
      <c r="BB203" s="3">
        <v>3</v>
      </c>
    </row>
    <row r="204" spans="1:54" s="3" customFormat="1" ht="110.25" customHeight="1" x14ac:dyDescent="0.25">
      <c r="A204" s="2">
        <v>202</v>
      </c>
      <c r="B204" s="3">
        <v>5</v>
      </c>
      <c r="C204" s="2">
        <v>1</v>
      </c>
      <c r="D204" s="9">
        <v>79</v>
      </c>
      <c r="E204" s="3" t="s">
        <v>53</v>
      </c>
      <c r="F204" s="3">
        <f t="shared" si="28"/>
        <v>2</v>
      </c>
      <c r="G204" s="11"/>
      <c r="H204" s="3" t="s">
        <v>54</v>
      </c>
      <c r="I204" s="3">
        <f t="shared" si="26"/>
        <v>1</v>
      </c>
      <c r="J204" s="3" t="s">
        <v>58</v>
      </c>
      <c r="K204" s="3">
        <v>4</v>
      </c>
      <c r="L204" s="6" t="s">
        <v>207</v>
      </c>
      <c r="M204" s="3">
        <v>-40</v>
      </c>
      <c r="N204" s="3">
        <f t="shared" si="27"/>
        <v>-0.4</v>
      </c>
      <c r="O204" s="3">
        <v>1</v>
      </c>
      <c r="P204" s="3">
        <v>0.01</v>
      </c>
      <c r="Q204" s="17">
        <v>0.1270833333333333</v>
      </c>
      <c r="R204" s="21">
        <v>0.26475317945540522</v>
      </c>
      <c r="S204" s="3">
        <v>8</v>
      </c>
      <c r="T204" s="3">
        <v>238.95</v>
      </c>
      <c r="U204" s="3">
        <v>295.42</v>
      </c>
      <c r="V204" s="26">
        <v>1.16819854969556</v>
      </c>
      <c r="W204" s="18">
        <v>2.6666672521580401</v>
      </c>
      <c r="X204" s="18">
        <v>1.02746890774711</v>
      </c>
      <c r="Y204" s="18">
        <v>-0.71642887607477901</v>
      </c>
      <c r="Z204" s="18">
        <v>-1.04963222181058</v>
      </c>
      <c r="AA204" s="18">
        <v>-0.79772127378952096</v>
      </c>
      <c r="AB204" s="18">
        <v>-1.90741609131776</v>
      </c>
      <c r="AC204" s="18">
        <v>0.17162478723117999</v>
      </c>
      <c r="AD204" s="18">
        <v>0.40864957733151203</v>
      </c>
      <c r="AE204" s="21">
        <v>-0.185900678222544</v>
      </c>
      <c r="AF204" s="3">
        <v>0.72289199999999998</v>
      </c>
      <c r="AG204" s="3">
        <v>0.107089</v>
      </c>
      <c r="AH204" s="3">
        <v>2.8221500000000002</v>
      </c>
      <c r="AI204" s="3">
        <v>59.702300000000001</v>
      </c>
      <c r="AJ204" s="3">
        <v>0.45506999999999997</v>
      </c>
      <c r="AK204" s="3">
        <v>0.85404800000000003</v>
      </c>
      <c r="AL204" s="3">
        <v>0</v>
      </c>
      <c r="AM204" s="3">
        <v>0.23701800000000001</v>
      </c>
      <c r="AN204" s="3">
        <v>0.7732</v>
      </c>
      <c r="AO204" s="3">
        <v>0</v>
      </c>
      <c r="AP204" s="3">
        <v>0.41841499999999998</v>
      </c>
      <c r="AQ204" s="3">
        <v>-6.6682099999999994E-2</v>
      </c>
      <c r="AR204" s="3">
        <v>0</v>
      </c>
      <c r="AS204" s="3">
        <v>2.6334399999999999E-3</v>
      </c>
      <c r="AT204" s="3">
        <v>-0.39977200000000002</v>
      </c>
      <c r="AU204" s="3">
        <v>14.1389</v>
      </c>
      <c r="AV204" s="3">
        <v>0.27854099999999998</v>
      </c>
      <c r="AW204" s="3">
        <v>0.58527399999999996</v>
      </c>
      <c r="AX204" s="3">
        <v>0</v>
      </c>
      <c r="AY204" s="3">
        <v>5.9157300000000003E-2</v>
      </c>
      <c r="AZ204" s="21">
        <v>-0.64689099999999999</v>
      </c>
      <c r="BA204" s="3">
        <v>56.47</v>
      </c>
      <c r="BB204" s="3">
        <v>4</v>
      </c>
    </row>
    <row r="205" spans="1:54" s="3" customFormat="1" ht="110.25" customHeight="1" x14ac:dyDescent="0.25">
      <c r="A205" s="2">
        <v>203</v>
      </c>
      <c r="B205" s="3">
        <v>5</v>
      </c>
      <c r="C205" s="2">
        <v>1</v>
      </c>
      <c r="D205" s="9">
        <v>79</v>
      </c>
      <c r="E205" s="3" t="s">
        <v>53</v>
      </c>
      <c r="F205" s="3">
        <f t="shared" si="28"/>
        <v>2</v>
      </c>
      <c r="G205" s="11"/>
      <c r="H205" s="3" t="s">
        <v>54</v>
      </c>
      <c r="I205" s="3">
        <f t="shared" si="26"/>
        <v>1</v>
      </c>
      <c r="J205" s="3" t="s">
        <v>59</v>
      </c>
      <c r="K205" s="3">
        <v>5</v>
      </c>
      <c r="L205" s="6" t="s">
        <v>227</v>
      </c>
      <c r="M205" s="3">
        <v>-40</v>
      </c>
      <c r="N205" s="3">
        <f t="shared" si="27"/>
        <v>-0.4</v>
      </c>
      <c r="O205" s="3">
        <v>1</v>
      </c>
      <c r="P205" s="3">
        <v>0.01</v>
      </c>
      <c r="Q205" s="17">
        <v>0.28815476190476191</v>
      </c>
      <c r="R205" s="21">
        <v>0.51316945104665801</v>
      </c>
      <c r="S205" s="3">
        <v>10</v>
      </c>
      <c r="T205" s="3">
        <v>306.20999999999998</v>
      </c>
      <c r="U205" s="3">
        <v>374.29</v>
      </c>
      <c r="V205" s="26">
        <v>2.8829173592601798E-3</v>
      </c>
      <c r="W205" s="18">
        <v>0.683980403216505</v>
      </c>
      <c r="X205" s="18">
        <v>0.41790078638779199</v>
      </c>
      <c r="Y205" s="18">
        <v>-0.51270894707127801</v>
      </c>
      <c r="Z205" s="18">
        <v>0.516497768417433</v>
      </c>
      <c r="AA205" s="18">
        <v>1.04436431553492</v>
      </c>
      <c r="AB205" s="18">
        <v>-1.6554842195203101</v>
      </c>
      <c r="AC205" s="18">
        <v>-1.4055298082949399</v>
      </c>
      <c r="AD205" s="18">
        <v>-0.39505047126472598</v>
      </c>
      <c r="AE205" s="21">
        <v>0.37033757157719199</v>
      </c>
      <c r="AF205" s="3">
        <v>4.1786700000000003</v>
      </c>
      <c r="AG205" s="3">
        <v>0.31215100000000001</v>
      </c>
      <c r="AH205" s="3">
        <v>3.0958199999999998</v>
      </c>
      <c r="AI205" s="3">
        <v>58.977400000000003</v>
      </c>
      <c r="AJ205" s="3">
        <v>0.49291499999999999</v>
      </c>
      <c r="AK205" s="3">
        <v>0.70318700000000001</v>
      </c>
      <c r="AL205" s="3">
        <v>0</v>
      </c>
      <c r="AM205" s="3">
        <v>0.13119700000000001</v>
      </c>
      <c r="AN205" s="3">
        <v>-9.9474699999999999E-2</v>
      </c>
      <c r="AO205" s="3">
        <v>0.38789299999999999</v>
      </c>
      <c r="AP205" s="3">
        <v>9.4373799999999994E-2</v>
      </c>
      <c r="AQ205" s="3">
        <v>3.9566400000000002</v>
      </c>
      <c r="AR205" s="3">
        <v>0</v>
      </c>
      <c r="AS205" s="3">
        <v>2.2417900000000001E-2</v>
      </c>
      <c r="AT205" s="3">
        <v>-0.344113</v>
      </c>
      <c r="AU205" s="3">
        <v>8.2339099999999998</v>
      </c>
      <c r="AV205" s="3">
        <v>3.8078899999999999E-2</v>
      </c>
      <c r="AW205" s="3">
        <v>0.1636</v>
      </c>
      <c r="AX205" s="3">
        <v>0</v>
      </c>
      <c r="AY205" s="3">
        <v>0.10018000000000001</v>
      </c>
      <c r="AZ205" s="21">
        <v>0.50431800000000004</v>
      </c>
      <c r="BA205" s="3">
        <v>68.08</v>
      </c>
      <c r="BB205" s="3">
        <v>5</v>
      </c>
    </row>
    <row r="206" spans="1:54" s="3" customFormat="1" ht="110.25" customHeight="1" x14ac:dyDescent="0.25">
      <c r="A206" s="2">
        <v>204</v>
      </c>
      <c r="B206" s="3">
        <v>5</v>
      </c>
      <c r="C206" s="2">
        <v>1</v>
      </c>
      <c r="D206" s="9">
        <v>79</v>
      </c>
      <c r="E206" s="3" t="s">
        <v>53</v>
      </c>
      <c r="F206" s="3">
        <f t="shared" si="28"/>
        <v>2</v>
      </c>
      <c r="G206" s="11"/>
      <c r="H206" s="3" t="s">
        <v>54</v>
      </c>
      <c r="I206" s="3">
        <f t="shared" si="26"/>
        <v>1</v>
      </c>
      <c r="J206" s="3" t="s">
        <v>60</v>
      </c>
      <c r="K206" s="3">
        <v>6</v>
      </c>
      <c r="L206" s="6" t="s">
        <v>200</v>
      </c>
      <c r="M206" s="3">
        <v>-40</v>
      </c>
      <c r="N206" s="3">
        <f t="shared" si="27"/>
        <v>-0.4</v>
      </c>
      <c r="O206" s="3">
        <v>1</v>
      </c>
      <c r="P206" s="3">
        <v>0.01</v>
      </c>
      <c r="Q206" s="17">
        <v>9.9900793650793657E-2</v>
      </c>
      <c r="R206" s="21">
        <v>0.1628176132494282</v>
      </c>
      <c r="S206" s="3">
        <v>12</v>
      </c>
      <c r="T206" s="3">
        <v>391.92</v>
      </c>
      <c r="U206" s="3">
        <v>450.6</v>
      </c>
      <c r="V206" s="26">
        <v>-1.4479149168945999</v>
      </c>
      <c r="W206" s="18">
        <v>0.74490705490867404</v>
      </c>
      <c r="X206" s="18">
        <v>-1.02683088870242</v>
      </c>
      <c r="Y206" s="18">
        <v>-1.3515514805908</v>
      </c>
      <c r="Z206" s="18">
        <v>-0.60757173531305697</v>
      </c>
      <c r="AA206" s="18">
        <v>-0.72950269187303396</v>
      </c>
      <c r="AB206" s="18">
        <v>-0.85982045077362301</v>
      </c>
      <c r="AC206" s="18">
        <v>2.4912731833401001E-2</v>
      </c>
      <c r="AD206" s="18">
        <v>0.115877199600495</v>
      </c>
      <c r="AE206" s="21">
        <v>0.45816466365083403</v>
      </c>
      <c r="AF206" s="3">
        <v>0.225026</v>
      </c>
      <c r="AG206" s="3">
        <v>0.16928199999999999</v>
      </c>
      <c r="AH206" s="3">
        <v>2.7898800000000001</v>
      </c>
      <c r="AI206" s="3">
        <v>57.524700000000003</v>
      </c>
      <c r="AJ206" s="3">
        <v>0.35630299999999998</v>
      </c>
      <c r="AK206" s="3">
        <v>6.3881300000000002E-2</v>
      </c>
      <c r="AL206" s="3">
        <v>0</v>
      </c>
      <c r="AM206" s="3">
        <v>0.23002700000000001</v>
      </c>
      <c r="AN206" s="3">
        <v>1.3998299999999999</v>
      </c>
      <c r="AO206" s="3">
        <v>0</v>
      </c>
      <c r="AP206" s="3">
        <v>0.24149499999999999</v>
      </c>
      <c r="AQ206" s="3">
        <v>-0.52271500000000004</v>
      </c>
      <c r="AR206" s="3">
        <v>0</v>
      </c>
      <c r="AS206" s="3">
        <v>7.7446600000000004E-2</v>
      </c>
      <c r="AT206" s="3">
        <v>-0.212064</v>
      </c>
      <c r="AU206" s="3">
        <v>6.6689400000000001</v>
      </c>
      <c r="AV206" s="3">
        <v>8.8640499999999997E-2</v>
      </c>
      <c r="AW206" s="3">
        <v>0.311718</v>
      </c>
      <c r="AX206" s="3">
        <v>0.51142200000000004</v>
      </c>
      <c r="AY206" s="3">
        <v>8.2152299999999998E-2</v>
      </c>
      <c r="AZ206" s="21">
        <v>3.5051899999999998</v>
      </c>
      <c r="BA206" s="3">
        <v>58.68</v>
      </c>
      <c r="BB206" s="3">
        <v>6</v>
      </c>
    </row>
    <row r="207" spans="1:54" s="3" customFormat="1" ht="126" customHeight="1" x14ac:dyDescent="0.25">
      <c r="A207" s="2">
        <v>205</v>
      </c>
      <c r="B207" s="3">
        <v>5</v>
      </c>
      <c r="C207" s="2">
        <v>1</v>
      </c>
      <c r="D207" s="9">
        <v>79</v>
      </c>
      <c r="E207" s="3" t="s">
        <v>53</v>
      </c>
      <c r="F207" s="3">
        <f t="shared" si="28"/>
        <v>1</v>
      </c>
      <c r="G207" s="11" t="s">
        <v>76</v>
      </c>
      <c r="H207" s="3" t="s">
        <v>76</v>
      </c>
      <c r="I207" s="3">
        <f t="shared" si="26"/>
        <v>2</v>
      </c>
      <c r="J207" s="3" t="s">
        <v>77</v>
      </c>
      <c r="K207" s="3">
        <v>1</v>
      </c>
      <c r="L207" s="6" t="s">
        <v>192</v>
      </c>
      <c r="M207" s="3">
        <v>-63</v>
      </c>
      <c r="N207" s="3">
        <f t="shared" si="27"/>
        <v>-0.63</v>
      </c>
      <c r="O207" s="3">
        <v>-17</v>
      </c>
      <c r="P207" s="3">
        <v>-0.17</v>
      </c>
      <c r="Q207" s="17">
        <v>0.1018518518518519</v>
      </c>
      <c r="R207" s="21">
        <v>0.37890966055802472</v>
      </c>
      <c r="S207" s="3">
        <v>2</v>
      </c>
      <c r="T207" s="3">
        <v>26.6</v>
      </c>
      <c r="U207" s="3">
        <v>112.87</v>
      </c>
      <c r="V207" s="26">
        <v>-0.50726615757987403</v>
      </c>
      <c r="W207" s="18">
        <v>-0.85989505430350299</v>
      </c>
      <c r="X207" s="18">
        <v>-9.2136364000622903E-2</v>
      </c>
      <c r="Y207" s="18">
        <v>-0.444490475614085</v>
      </c>
      <c r="Z207" s="18">
        <v>0.17083498800775501</v>
      </c>
      <c r="AA207" s="18">
        <v>0.17122163027767401</v>
      </c>
      <c r="AB207" s="18">
        <v>0.33217197689205902</v>
      </c>
      <c r="AC207" s="18">
        <v>1.3585698144602001E-2</v>
      </c>
      <c r="AD207" s="18">
        <v>1.5615120141556</v>
      </c>
      <c r="AE207" s="21">
        <v>-0.35569972289825103</v>
      </c>
      <c r="AF207" s="3">
        <v>2.7822900000000002</v>
      </c>
      <c r="AG207" s="3">
        <v>4.7463400000000003E-2</v>
      </c>
      <c r="AH207" s="3">
        <v>2.1880500000000001</v>
      </c>
      <c r="AI207" s="3">
        <v>57.8855</v>
      </c>
      <c r="AJ207" s="3">
        <v>0.367759</v>
      </c>
      <c r="AK207" s="3">
        <v>0.25517299999999998</v>
      </c>
      <c r="AL207" s="3">
        <v>0</v>
      </c>
      <c r="AM207" s="3">
        <v>0.177897</v>
      </c>
      <c r="AN207" s="3">
        <v>0.16381000000000001</v>
      </c>
      <c r="AO207" s="3">
        <v>0</v>
      </c>
      <c r="AP207" s="3">
        <v>0.26521600000000001</v>
      </c>
      <c r="AQ207" s="3">
        <v>0.55034700000000003</v>
      </c>
      <c r="AR207" s="3">
        <v>0</v>
      </c>
      <c r="AS207" s="3">
        <v>8.1181299999999998E-2</v>
      </c>
      <c r="AT207" s="3">
        <v>-9.6538299999999994E-2</v>
      </c>
      <c r="AU207" s="3">
        <v>23.9694</v>
      </c>
      <c r="AV207" s="3">
        <v>0.28100599999999998</v>
      </c>
      <c r="AW207" s="3">
        <v>0.73992500000000005</v>
      </c>
      <c r="AX207" s="3">
        <v>0</v>
      </c>
      <c r="AY207" s="3">
        <v>4.91172E-2</v>
      </c>
      <c r="AZ207" s="21">
        <v>-0.52276199999999995</v>
      </c>
      <c r="BA207" s="3">
        <v>86.27</v>
      </c>
      <c r="BB207" s="3">
        <v>1</v>
      </c>
    </row>
    <row r="208" spans="1:54" s="3" customFormat="1" ht="330.75" customHeight="1" x14ac:dyDescent="0.25">
      <c r="A208" s="2">
        <v>206</v>
      </c>
      <c r="B208" s="3">
        <v>5</v>
      </c>
      <c r="C208" s="2">
        <v>1</v>
      </c>
      <c r="D208" s="9">
        <v>79</v>
      </c>
      <c r="E208" s="3" t="s">
        <v>53</v>
      </c>
      <c r="F208" s="3">
        <f t="shared" si="28"/>
        <v>1</v>
      </c>
      <c r="G208" s="11"/>
      <c r="H208" s="3" t="s">
        <v>76</v>
      </c>
      <c r="I208" s="3">
        <f t="shared" si="26"/>
        <v>2</v>
      </c>
      <c r="J208" s="3" t="s">
        <v>78</v>
      </c>
      <c r="K208" s="3">
        <v>2</v>
      </c>
      <c r="L208" s="6" t="s">
        <v>228</v>
      </c>
      <c r="M208" s="3">
        <v>-63</v>
      </c>
      <c r="N208" s="3">
        <f t="shared" si="27"/>
        <v>-0.63</v>
      </c>
      <c r="O208" s="3">
        <v>-17</v>
      </c>
      <c r="P208" s="3">
        <v>-0.17</v>
      </c>
      <c r="Q208" s="17">
        <v>6.5934027777777779E-2</v>
      </c>
      <c r="R208" s="21">
        <v>0.37864754680186957</v>
      </c>
      <c r="S208" s="3">
        <v>4</v>
      </c>
      <c r="T208" s="3">
        <v>114.79</v>
      </c>
      <c r="U208" s="3">
        <v>323.41000000000003</v>
      </c>
      <c r="V208" s="26">
        <v>0.46556344756121798</v>
      </c>
      <c r="W208" s="18">
        <v>-0.115112937500949</v>
      </c>
      <c r="X208" s="18">
        <v>-0.44197334621663098</v>
      </c>
      <c r="Y208" s="18">
        <v>-0.78543891207419902</v>
      </c>
      <c r="Z208" s="18">
        <v>-9.7063173486876694E-2</v>
      </c>
      <c r="AA208" s="18">
        <v>-0.139347601142669</v>
      </c>
      <c r="AB208" s="18">
        <v>0.31225968609104898</v>
      </c>
      <c r="AC208" s="18">
        <v>0.69482586714237304</v>
      </c>
      <c r="AD208" s="18">
        <v>0.62509608226883995</v>
      </c>
      <c r="AE208" s="21">
        <v>-0.818255741152767</v>
      </c>
      <c r="AF208" s="3">
        <v>1.8983699999999999</v>
      </c>
      <c r="AG208" s="3">
        <v>0.15026600000000001</v>
      </c>
      <c r="AH208" s="3">
        <v>2.92069</v>
      </c>
      <c r="AI208" s="3">
        <v>58.924300000000002</v>
      </c>
      <c r="AJ208" s="3">
        <v>0.40715499999999999</v>
      </c>
      <c r="AK208" s="3">
        <v>-5.1653499999999998E-2</v>
      </c>
      <c r="AL208" s="3">
        <v>0</v>
      </c>
      <c r="AM208" s="3">
        <v>5.0949000000000001E-2</v>
      </c>
      <c r="AN208" s="3">
        <v>-0.34278199999999998</v>
      </c>
      <c r="AO208" s="3">
        <v>0</v>
      </c>
      <c r="AP208" s="3">
        <v>0.32365699999999997</v>
      </c>
      <c r="AQ208" s="3">
        <v>-2.94203E-2</v>
      </c>
      <c r="AR208" s="3">
        <v>0</v>
      </c>
      <c r="AS208" s="3">
        <v>0.16026099999999999</v>
      </c>
      <c r="AT208" s="3">
        <v>0.55338500000000002</v>
      </c>
      <c r="AU208" s="3">
        <v>9.0373900000000003</v>
      </c>
      <c r="AV208" s="3">
        <v>0.23763699999999999</v>
      </c>
      <c r="AW208" s="3">
        <v>0.73099700000000001</v>
      </c>
      <c r="AX208" s="3">
        <v>0.19559000000000001</v>
      </c>
      <c r="AY208" s="3">
        <v>0.45125100000000001</v>
      </c>
      <c r="AZ208" s="21">
        <v>3.9847100000000002</v>
      </c>
      <c r="BA208" s="3">
        <v>208.62</v>
      </c>
      <c r="BB208" s="3">
        <v>2</v>
      </c>
    </row>
    <row r="209" spans="1:54" s="3" customFormat="1" ht="63" customHeight="1" x14ac:dyDescent="0.25">
      <c r="A209" s="2">
        <v>207</v>
      </c>
      <c r="B209" s="3">
        <v>5</v>
      </c>
      <c r="C209" s="2">
        <v>1</v>
      </c>
      <c r="D209" s="9">
        <v>79</v>
      </c>
      <c r="E209" s="3" t="s">
        <v>53</v>
      </c>
      <c r="F209" s="3">
        <f t="shared" si="28"/>
        <v>1</v>
      </c>
      <c r="G209" s="11"/>
      <c r="H209" s="3" t="s">
        <v>76</v>
      </c>
      <c r="I209" s="3">
        <f t="shared" si="26"/>
        <v>2</v>
      </c>
      <c r="J209" s="3" t="s">
        <v>79</v>
      </c>
      <c r="K209" s="3">
        <v>3</v>
      </c>
      <c r="L209" s="6" t="s">
        <v>170</v>
      </c>
      <c r="M209" s="3">
        <v>-63</v>
      </c>
      <c r="N209" s="3">
        <f t="shared" si="27"/>
        <v>-0.63</v>
      </c>
      <c r="O209" s="3">
        <v>-17</v>
      </c>
      <c r="P209" s="3">
        <v>-0.17</v>
      </c>
      <c r="Q209" s="17">
        <v>0.15535714285714289</v>
      </c>
      <c r="R209" s="21">
        <v>0.2393412337865671</v>
      </c>
      <c r="S209" s="3">
        <v>6</v>
      </c>
      <c r="T209" s="3">
        <v>327.48</v>
      </c>
      <c r="U209" s="3">
        <v>365.11</v>
      </c>
      <c r="V209" s="26">
        <v>-0.81647065091076099</v>
      </c>
      <c r="W209" s="18">
        <v>-1.02167102618718</v>
      </c>
      <c r="X209" s="18">
        <v>-1.31422977435495</v>
      </c>
      <c r="Y209" s="18">
        <v>-0.29754731241198501</v>
      </c>
      <c r="Z209" s="18">
        <v>-0.442155553268818</v>
      </c>
      <c r="AA209" s="18">
        <v>-0.62303757346428501</v>
      </c>
      <c r="AB209" s="18">
        <v>0.89873547204638304</v>
      </c>
      <c r="AC209" s="18">
        <v>0.326966963534708</v>
      </c>
      <c r="AD209" s="18">
        <v>0.67351174784692602</v>
      </c>
      <c r="AE209" s="21">
        <v>-0.18297310848675399</v>
      </c>
      <c r="AF209" s="3">
        <v>0</v>
      </c>
      <c r="AG209" s="3">
        <v>0.23562900000000001</v>
      </c>
      <c r="AH209" s="3">
        <v>-0.48455599999999999</v>
      </c>
      <c r="AI209" s="3">
        <v>58.596499999999999</v>
      </c>
      <c r="AJ209" s="3">
        <v>0.43556400000000001</v>
      </c>
      <c r="AK209" s="3">
        <v>0.95086800000000005</v>
      </c>
      <c r="AL209" s="3">
        <v>0</v>
      </c>
      <c r="AM209" s="3">
        <v>0.17515500000000001</v>
      </c>
      <c r="AN209" s="3">
        <v>0.36574899999999999</v>
      </c>
      <c r="AO209" s="3">
        <v>0</v>
      </c>
      <c r="AP209" s="3">
        <v>0.29487099999999999</v>
      </c>
      <c r="AQ209" s="3">
        <v>-0.312919</v>
      </c>
      <c r="AR209" s="3">
        <v>0</v>
      </c>
      <c r="AS209" s="3">
        <v>7.3658799999999996E-2</v>
      </c>
      <c r="AT209" s="3">
        <v>-0.193996</v>
      </c>
      <c r="AU209" s="3">
        <v>8.8995200000000008</v>
      </c>
      <c r="AV209" s="3">
        <v>0.136929</v>
      </c>
      <c r="AW209" s="3">
        <v>0.87835300000000005</v>
      </c>
      <c r="AX209" s="3">
        <v>0</v>
      </c>
      <c r="AY209" s="3">
        <v>0</v>
      </c>
      <c r="AZ209" s="21">
        <v>-0.60036999999999996</v>
      </c>
      <c r="BA209" s="3">
        <v>37.630000000000003</v>
      </c>
      <c r="BB209" s="3">
        <v>3</v>
      </c>
    </row>
    <row r="210" spans="1:54" s="3" customFormat="1" ht="110.25" customHeight="1" x14ac:dyDescent="0.25">
      <c r="A210" s="2">
        <v>208</v>
      </c>
      <c r="B210" s="3">
        <v>5</v>
      </c>
      <c r="C210" s="2">
        <v>1</v>
      </c>
      <c r="D210" s="9">
        <v>79</v>
      </c>
      <c r="E210" s="3" t="s">
        <v>53</v>
      </c>
      <c r="F210" s="3">
        <f t="shared" si="28"/>
        <v>1</v>
      </c>
      <c r="G210" s="11"/>
      <c r="H210" s="3" t="s">
        <v>76</v>
      </c>
      <c r="I210" s="3">
        <f t="shared" si="26"/>
        <v>2</v>
      </c>
      <c r="J210" s="3" t="s">
        <v>80</v>
      </c>
      <c r="K210" s="3">
        <v>4</v>
      </c>
      <c r="L210" s="6" t="s">
        <v>189</v>
      </c>
      <c r="M210" s="3">
        <v>-63</v>
      </c>
      <c r="N210" s="3">
        <f t="shared" si="27"/>
        <v>-0.63</v>
      </c>
      <c r="O210" s="3">
        <v>-17</v>
      </c>
      <c r="P210" s="3">
        <v>-0.17</v>
      </c>
      <c r="Q210" s="17">
        <v>0.11515625</v>
      </c>
      <c r="R210" s="21">
        <v>0.3462345591007267</v>
      </c>
      <c r="S210" s="3">
        <v>8</v>
      </c>
      <c r="T210" s="3">
        <v>366.29</v>
      </c>
      <c r="U210" s="3">
        <v>428.7</v>
      </c>
      <c r="V210" s="26">
        <v>-0.93206290725206498</v>
      </c>
      <c r="W210" s="18">
        <v>-0.78214939655586702</v>
      </c>
      <c r="X210" s="18">
        <v>-0.62653301399987904</v>
      </c>
      <c r="Y210" s="18">
        <v>-0.51465187822037906</v>
      </c>
      <c r="Z210" s="18">
        <v>-0.99335269320702801</v>
      </c>
      <c r="AA210" s="18">
        <v>-0.97139364742866396</v>
      </c>
      <c r="AB210" s="18">
        <v>1.2091406354301699</v>
      </c>
      <c r="AC210" s="18">
        <v>1.3890112174987801</v>
      </c>
      <c r="AD210" s="18">
        <v>7.4296686809902104E-2</v>
      </c>
      <c r="AE210" s="21">
        <v>1.74044020792601</v>
      </c>
      <c r="AF210" s="3">
        <v>3.5011199999999998</v>
      </c>
      <c r="AG210" s="3">
        <v>0.28245900000000002</v>
      </c>
      <c r="AH210" s="3">
        <v>2.50413</v>
      </c>
      <c r="AI210" s="3">
        <v>58.845799999999997</v>
      </c>
      <c r="AJ210" s="3">
        <v>0.53326099999999999</v>
      </c>
      <c r="AK210" s="3">
        <v>-6.7094000000000001E-2</v>
      </c>
      <c r="AL210" s="3">
        <v>0</v>
      </c>
      <c r="AM210" s="3">
        <v>0.24878800000000001</v>
      </c>
      <c r="AN210" s="3">
        <v>0.206651</v>
      </c>
      <c r="AO210" s="3">
        <v>0</v>
      </c>
      <c r="AP210" s="3">
        <v>0.31530399999999997</v>
      </c>
      <c r="AQ210" s="3">
        <v>-0.25426500000000002</v>
      </c>
      <c r="AR210" s="3">
        <v>0</v>
      </c>
      <c r="AS210" s="3">
        <v>6.5711099999999995E-2</v>
      </c>
      <c r="AT210" s="3">
        <v>-4.0916599999999997E-2</v>
      </c>
      <c r="AU210" s="3">
        <v>9.9070199999999993</v>
      </c>
      <c r="AV210" s="3">
        <v>0.57743800000000001</v>
      </c>
      <c r="AW210" s="3">
        <v>1.12968</v>
      </c>
      <c r="AX210" s="3">
        <v>0.94260999999999995</v>
      </c>
      <c r="AY210" s="3">
        <v>0.43581599999999998</v>
      </c>
      <c r="AZ210" s="21">
        <v>4.9450500000000002</v>
      </c>
      <c r="BA210" s="3">
        <v>62.41</v>
      </c>
      <c r="BB210" s="3">
        <v>4</v>
      </c>
    </row>
    <row r="211" spans="1:54" s="3" customFormat="1" ht="47.25" customHeight="1" x14ac:dyDescent="0.25">
      <c r="A211" s="2">
        <v>209</v>
      </c>
      <c r="B211" s="3">
        <v>5</v>
      </c>
      <c r="C211" s="2">
        <v>1</v>
      </c>
      <c r="D211" s="9">
        <v>79</v>
      </c>
      <c r="E211" s="3" t="s">
        <v>53</v>
      </c>
      <c r="F211" s="3">
        <f>IF(E222="Happy", 1,2)</f>
        <v>1</v>
      </c>
      <c r="G211" s="11"/>
      <c r="H211" s="3" t="s">
        <v>76</v>
      </c>
      <c r="I211" s="3">
        <f t="shared" si="26"/>
        <v>2</v>
      </c>
      <c r="J211" s="3" t="s">
        <v>81</v>
      </c>
      <c r="K211" s="3">
        <v>5</v>
      </c>
      <c r="L211" s="6" t="s">
        <v>159</v>
      </c>
      <c r="M211" s="3">
        <v>-63</v>
      </c>
      <c r="N211" s="3">
        <f t="shared" si="27"/>
        <v>-0.63</v>
      </c>
      <c r="O211" s="3">
        <v>-17</v>
      </c>
      <c r="P211" s="3">
        <v>-0.17</v>
      </c>
      <c r="Q211" s="17">
        <v>-3.3333333333333461E-3</v>
      </c>
      <c r="R211" s="21">
        <v>0.56571488696456751</v>
      </c>
      <c r="S211" s="3">
        <v>10</v>
      </c>
      <c r="T211" s="3">
        <v>455.37</v>
      </c>
      <c r="U211" s="3">
        <v>475.06</v>
      </c>
      <c r="V211" s="26">
        <v>1.6407993108521901</v>
      </c>
      <c r="W211" s="18">
        <v>1.37819764161716</v>
      </c>
      <c r="X211" s="18">
        <v>2.0272211204339601</v>
      </c>
      <c r="Y211" s="18">
        <v>-0.88848622338928496</v>
      </c>
      <c r="Z211" s="18">
        <v>-1.5589999823812799</v>
      </c>
      <c r="AA211" s="18">
        <v>-1.3966565189309701</v>
      </c>
      <c r="AB211" s="18">
        <v>1.5290880125676201</v>
      </c>
      <c r="AC211" s="18">
        <v>1.8010994907484199</v>
      </c>
      <c r="AD211" s="18">
        <v>-1.74157557040116</v>
      </c>
      <c r="AE211" s="21">
        <v>-2.0858934367490001</v>
      </c>
      <c r="AF211" s="3">
        <v>0</v>
      </c>
      <c r="AG211" s="3">
        <v>0.28614499999999998</v>
      </c>
      <c r="AH211" s="3">
        <v>-0.46680300000000002</v>
      </c>
      <c r="AI211" s="3">
        <v>60</v>
      </c>
      <c r="AJ211" s="3">
        <v>0.41282000000000002</v>
      </c>
      <c r="AK211" s="3">
        <v>0.59674700000000003</v>
      </c>
      <c r="AL211" s="3">
        <v>0</v>
      </c>
      <c r="AM211" s="3">
        <v>0.20519100000000001</v>
      </c>
      <c r="AN211" s="3">
        <v>0.590642</v>
      </c>
      <c r="AO211" s="3">
        <v>0</v>
      </c>
      <c r="AP211" s="3">
        <v>0.27486300000000002</v>
      </c>
      <c r="AQ211" s="3">
        <v>-0.48147600000000002</v>
      </c>
      <c r="AR211" s="3">
        <v>0</v>
      </c>
      <c r="AS211" s="3">
        <v>2.5182599999999999E-2</v>
      </c>
      <c r="AT211" s="3">
        <v>-0.31314999999999998</v>
      </c>
      <c r="AU211" s="3">
        <v>0</v>
      </c>
      <c r="AV211" s="3">
        <v>0.36965999999999999</v>
      </c>
      <c r="AW211" s="3">
        <v>-0.98244600000000004</v>
      </c>
      <c r="AX211" s="3">
        <v>0</v>
      </c>
      <c r="AY211" s="3">
        <v>0.19669200000000001</v>
      </c>
      <c r="AZ211" s="21">
        <v>-0.44321700000000003</v>
      </c>
      <c r="BA211" s="3">
        <v>19.690000000000001</v>
      </c>
      <c r="BB211" s="3">
        <v>5</v>
      </c>
    </row>
    <row r="212" spans="1:54" s="3" customFormat="1" ht="110.25" customHeight="1" x14ac:dyDescent="0.25">
      <c r="A212" s="2">
        <v>210</v>
      </c>
      <c r="B212" s="3">
        <v>5</v>
      </c>
      <c r="C212" s="2">
        <v>1</v>
      </c>
      <c r="D212" s="9">
        <v>79</v>
      </c>
      <c r="E212" s="3" t="s">
        <v>53</v>
      </c>
      <c r="F212" s="3">
        <f>IF(E223="Happy", 1,2)</f>
        <v>1</v>
      </c>
      <c r="G212" s="11"/>
      <c r="H212" s="3" t="s">
        <v>76</v>
      </c>
      <c r="I212" s="3">
        <f t="shared" si="26"/>
        <v>2</v>
      </c>
      <c r="J212" s="3" t="s">
        <v>82</v>
      </c>
      <c r="K212" s="3">
        <v>6</v>
      </c>
      <c r="L212" s="6" t="s">
        <v>196</v>
      </c>
      <c r="M212" s="3">
        <v>-63</v>
      </c>
      <c r="N212" s="3">
        <f t="shared" si="27"/>
        <v>-0.63</v>
      </c>
      <c r="O212" s="3">
        <v>-17</v>
      </c>
      <c r="P212" s="3">
        <v>-0.17</v>
      </c>
      <c r="Q212" s="17">
        <v>0.28076190476190482</v>
      </c>
      <c r="R212" s="21">
        <v>0.34197913370724309</v>
      </c>
      <c r="S212" s="3">
        <v>12</v>
      </c>
      <c r="T212" s="3">
        <v>477.67</v>
      </c>
      <c r="U212" s="3">
        <v>542.94000000000005</v>
      </c>
      <c r="V212" s="26">
        <v>-2.6762458810353999E-3</v>
      </c>
      <c r="W212" s="18">
        <v>0.16871048619096399</v>
      </c>
      <c r="X212" s="18">
        <v>-7.1193135676668101E-2</v>
      </c>
      <c r="Y212" s="18">
        <v>-0.99383626791811597</v>
      </c>
      <c r="Z212" s="18">
        <v>-0.100485577253311</v>
      </c>
      <c r="AA212" s="18">
        <v>-1.40810002515453E-2</v>
      </c>
      <c r="AB212" s="18">
        <v>0.63743567350446995</v>
      </c>
      <c r="AC212" s="18">
        <v>-1.6924813284111799</v>
      </c>
      <c r="AD212" s="18">
        <v>-0.66560860243638498</v>
      </c>
      <c r="AE212" s="21">
        <v>-0.99683749503583896</v>
      </c>
      <c r="AF212" s="3">
        <v>0.95646799999999998</v>
      </c>
      <c r="AG212" s="3">
        <v>0.241895</v>
      </c>
      <c r="AH212" s="3">
        <v>2.5903299999999998</v>
      </c>
      <c r="AI212" s="3">
        <v>57.5169</v>
      </c>
      <c r="AJ212" s="3">
        <v>0.26155099999999998</v>
      </c>
      <c r="AK212" s="3">
        <v>-7.9528299999999996E-2</v>
      </c>
      <c r="AL212" s="3">
        <v>0</v>
      </c>
      <c r="AM212" s="3">
        <v>0.163415</v>
      </c>
      <c r="AN212" s="3">
        <v>0.88552699999999995</v>
      </c>
      <c r="AO212" s="3">
        <v>0</v>
      </c>
      <c r="AP212" s="3">
        <v>0.168382</v>
      </c>
      <c r="AQ212" s="3">
        <v>-0.68652500000000005</v>
      </c>
      <c r="AR212" s="3">
        <v>0</v>
      </c>
      <c r="AS212" s="3">
        <v>0</v>
      </c>
      <c r="AT212" s="3">
        <v>-0.33917000000000003</v>
      </c>
      <c r="AU212" s="3">
        <v>4.0098099999999999</v>
      </c>
      <c r="AV212" s="3">
        <v>8.8750599999999999E-2</v>
      </c>
      <c r="AW212" s="3">
        <v>0.39605400000000002</v>
      </c>
      <c r="AX212" s="3">
        <v>0.34947899999999998</v>
      </c>
      <c r="AY212" s="3">
        <v>1.11836</v>
      </c>
      <c r="AZ212" s="21">
        <v>7.00047</v>
      </c>
      <c r="BA212" s="3">
        <v>65.27</v>
      </c>
      <c r="BB212" s="3">
        <v>6</v>
      </c>
    </row>
    <row r="213" spans="1:54" s="3" customFormat="1" ht="204.75" customHeight="1" x14ac:dyDescent="0.25">
      <c r="A213" s="2">
        <v>211</v>
      </c>
      <c r="B213" s="3">
        <v>5</v>
      </c>
      <c r="C213" s="2">
        <v>1</v>
      </c>
      <c r="D213" s="9">
        <v>79</v>
      </c>
      <c r="E213" s="3" t="s">
        <v>53</v>
      </c>
      <c r="F213" s="3">
        <f t="shared" ref="F213:F220" si="29">IF(E223="Happy", 1,2)</f>
        <v>1</v>
      </c>
      <c r="G213" s="11"/>
      <c r="H213" s="3" t="s">
        <v>76</v>
      </c>
      <c r="I213" s="3">
        <f t="shared" si="26"/>
        <v>2</v>
      </c>
      <c r="J213" s="3" t="s">
        <v>83</v>
      </c>
      <c r="K213" s="3">
        <v>7</v>
      </c>
      <c r="L213" s="6" t="s">
        <v>187</v>
      </c>
      <c r="M213" s="3">
        <v>-63</v>
      </c>
      <c r="N213" s="3">
        <f t="shared" si="27"/>
        <v>-0.63</v>
      </c>
      <c r="O213" s="3">
        <v>-17</v>
      </c>
      <c r="P213" s="3">
        <v>-0.17</v>
      </c>
      <c r="Q213" s="17">
        <v>0.14856837606837611</v>
      </c>
      <c r="R213" s="21">
        <v>0.26798302718067191</v>
      </c>
      <c r="S213" s="3">
        <v>14</v>
      </c>
      <c r="T213" s="3">
        <v>544.03</v>
      </c>
      <c r="U213" s="3">
        <v>654.08000000000004</v>
      </c>
      <c r="V213" s="26">
        <v>0.40846221479560402</v>
      </c>
      <c r="W213" s="18">
        <v>-0.678128985440688</v>
      </c>
      <c r="X213" s="18">
        <v>-3.33305875010588E-2</v>
      </c>
      <c r="Y213" s="18">
        <v>1.6078205011361</v>
      </c>
      <c r="Z213" s="18">
        <v>2.2216153782711299</v>
      </c>
      <c r="AA213" s="18">
        <v>2.17631469364246</v>
      </c>
      <c r="AB213" s="18">
        <v>-0.51786933872477803</v>
      </c>
      <c r="AC213" s="18">
        <v>0.52707789203682798</v>
      </c>
      <c r="AD213" s="18">
        <v>0.53509990390016104</v>
      </c>
      <c r="AE213" s="21">
        <v>-0.73921135828648898</v>
      </c>
      <c r="AF213" s="3">
        <v>3.76295</v>
      </c>
      <c r="AG213" s="3">
        <v>0.16889999999999999</v>
      </c>
      <c r="AH213" s="3">
        <v>2.3855300000000002</v>
      </c>
      <c r="AI213" s="3">
        <v>57.076900000000002</v>
      </c>
      <c r="AJ213" s="3">
        <v>0.26302999999999999</v>
      </c>
      <c r="AK213" s="3">
        <v>-0.35412500000000002</v>
      </c>
      <c r="AL213" s="3">
        <v>0</v>
      </c>
      <c r="AM213" s="3">
        <v>0.17177200000000001</v>
      </c>
      <c r="AN213" s="3">
        <v>-8.8868799999999998E-2</v>
      </c>
      <c r="AO213" s="3">
        <v>2.1923300000000001</v>
      </c>
      <c r="AP213" s="3">
        <v>0.102697</v>
      </c>
      <c r="AQ213" s="3">
        <v>3.6302599999999998</v>
      </c>
      <c r="AR213" s="3">
        <v>0</v>
      </c>
      <c r="AS213" s="3">
        <v>0</v>
      </c>
      <c r="AT213" s="3">
        <v>-0.33917000000000003</v>
      </c>
      <c r="AU213" s="3">
        <v>21.1816</v>
      </c>
      <c r="AV213" s="3">
        <v>0.46443800000000002</v>
      </c>
      <c r="AW213" s="3">
        <v>1.5378099999999999</v>
      </c>
      <c r="AX213" s="3">
        <v>3.1412499999999999</v>
      </c>
      <c r="AY213" s="3">
        <v>0.42553600000000003</v>
      </c>
      <c r="AZ213" s="21">
        <v>3.7247499999999998</v>
      </c>
      <c r="BA213" s="3">
        <v>110.05</v>
      </c>
      <c r="BB213" s="3">
        <v>7</v>
      </c>
    </row>
    <row r="214" spans="1:54" s="3" customFormat="1" ht="157.5" customHeight="1" x14ac:dyDescent="0.25">
      <c r="A214" s="2">
        <v>212</v>
      </c>
      <c r="B214" s="3">
        <v>5</v>
      </c>
      <c r="C214" s="2">
        <v>1</v>
      </c>
      <c r="D214" s="9">
        <v>79</v>
      </c>
      <c r="E214" s="3" t="s">
        <v>53</v>
      </c>
      <c r="F214" s="3">
        <f t="shared" si="29"/>
        <v>1</v>
      </c>
      <c r="G214" s="11" t="s">
        <v>84</v>
      </c>
      <c r="H214" s="3" t="s">
        <v>84</v>
      </c>
      <c r="I214" s="3">
        <f t="shared" si="26"/>
        <v>3</v>
      </c>
      <c r="J214" s="3" t="s">
        <v>85</v>
      </c>
      <c r="K214" s="3">
        <v>1</v>
      </c>
      <c r="L214" s="6" t="s">
        <v>229</v>
      </c>
      <c r="M214" s="3" t="s">
        <v>97</v>
      </c>
      <c r="N214" s="3" t="s">
        <v>97</v>
      </c>
      <c r="O214" s="3" t="s">
        <v>97</v>
      </c>
      <c r="P214" s="3" t="s">
        <v>97</v>
      </c>
      <c r="Q214" s="17">
        <v>0.19107142857142859</v>
      </c>
      <c r="R214" s="21">
        <v>0.13559393159619751</v>
      </c>
      <c r="S214" s="3">
        <v>2</v>
      </c>
      <c r="T214" s="3">
        <v>32.65</v>
      </c>
      <c r="U214" s="3">
        <v>134.4</v>
      </c>
      <c r="V214" s="26">
        <v>1.8616083162802799</v>
      </c>
      <c r="W214" s="18">
        <v>0.298919362485286</v>
      </c>
      <c r="X214" s="18">
        <v>1.2342815995651</v>
      </c>
      <c r="Y214" s="18">
        <v>0.96622145945641302</v>
      </c>
      <c r="Z214" s="18">
        <v>0.77051618130375399</v>
      </c>
      <c r="AA214" s="18">
        <v>0.26532098147918898</v>
      </c>
      <c r="AB214" s="18">
        <v>0.95028085501704795</v>
      </c>
      <c r="AC214" s="18">
        <v>0.53085356993309496</v>
      </c>
      <c r="AD214" s="18">
        <v>1.97162118140527</v>
      </c>
      <c r="AE214" s="21">
        <v>-0.88851741481168101</v>
      </c>
      <c r="AF214" s="3">
        <v>0</v>
      </c>
      <c r="AG214" s="3">
        <v>0.34342400000000001</v>
      </c>
      <c r="AH214" s="3">
        <v>-0.32091599999999998</v>
      </c>
      <c r="AI214" s="3">
        <v>56.862000000000002</v>
      </c>
      <c r="AJ214" s="3">
        <v>0.32166699999999998</v>
      </c>
      <c r="AK214" s="3">
        <v>0.45337499999999997</v>
      </c>
      <c r="AL214" s="3">
        <v>0</v>
      </c>
      <c r="AM214" s="3">
        <v>8.2529000000000005E-2</v>
      </c>
      <c r="AN214" s="3">
        <v>-0.21618000000000001</v>
      </c>
      <c r="AO214" s="3">
        <v>8.2579600000000003E-2</v>
      </c>
      <c r="AP214" s="3">
        <v>0.19822999999999999</v>
      </c>
      <c r="AQ214" s="3">
        <v>3.1883900000000001</v>
      </c>
      <c r="AR214" s="3">
        <v>0</v>
      </c>
      <c r="AS214" s="3">
        <v>0</v>
      </c>
      <c r="AT214" s="3">
        <v>-0.48107699999999998</v>
      </c>
      <c r="AU214" s="3">
        <v>30.1416</v>
      </c>
      <c r="AV214" s="3">
        <v>0.257326</v>
      </c>
      <c r="AW214" s="3">
        <v>0.53442000000000001</v>
      </c>
      <c r="AX214" s="3">
        <v>2.2296499999999999</v>
      </c>
      <c r="AY214" s="3">
        <v>0.42927300000000002</v>
      </c>
      <c r="AZ214" s="21">
        <v>3.8005399999999998</v>
      </c>
      <c r="BA214" s="3">
        <v>101.752</v>
      </c>
      <c r="BB214" s="3">
        <v>1</v>
      </c>
    </row>
    <row r="215" spans="1:54" s="3" customFormat="1" ht="110.25" customHeight="1" x14ac:dyDescent="0.25">
      <c r="A215" s="2">
        <v>213</v>
      </c>
      <c r="B215" s="3">
        <v>5</v>
      </c>
      <c r="C215" s="2">
        <v>1</v>
      </c>
      <c r="D215" s="9">
        <v>79</v>
      </c>
      <c r="E215" s="3" t="s">
        <v>53</v>
      </c>
      <c r="F215" s="3">
        <f t="shared" si="29"/>
        <v>1</v>
      </c>
      <c r="G215" s="11"/>
      <c r="H215" s="3" t="s">
        <v>84</v>
      </c>
      <c r="I215" s="3">
        <f t="shared" si="26"/>
        <v>3</v>
      </c>
      <c r="J215" s="3" t="s">
        <v>86</v>
      </c>
      <c r="K215" s="3">
        <v>2</v>
      </c>
      <c r="L215" s="6" t="s">
        <v>173</v>
      </c>
      <c r="M215" s="3" t="s">
        <v>97</v>
      </c>
      <c r="N215" s="3" t="s">
        <v>97</v>
      </c>
      <c r="O215" s="3" t="s">
        <v>97</v>
      </c>
      <c r="P215" s="3" t="s">
        <v>97</v>
      </c>
      <c r="Q215" s="17">
        <v>0.22686507936507941</v>
      </c>
      <c r="R215" s="21">
        <v>0.22563015393409519</v>
      </c>
      <c r="S215" s="3">
        <v>4</v>
      </c>
      <c r="T215" s="3">
        <v>136.29</v>
      </c>
      <c r="U215" s="3">
        <v>196.06</v>
      </c>
      <c r="V215" s="26">
        <v>-0.44587574283144599</v>
      </c>
      <c r="W215" s="18">
        <v>-0.53786034451549802</v>
      </c>
      <c r="X215" s="18">
        <v>-0.85439695853033804</v>
      </c>
      <c r="Y215" s="18">
        <v>0.25280592567305799</v>
      </c>
      <c r="Z215" s="18">
        <v>1.15724780691062</v>
      </c>
      <c r="AA215" s="18">
        <v>0.84936214269817001</v>
      </c>
      <c r="AB215" s="18">
        <v>-0.149121599011554</v>
      </c>
      <c r="AC215" s="18">
        <v>-0.27498396964146998</v>
      </c>
      <c r="AD215" s="18">
        <v>-0.945849866723664</v>
      </c>
      <c r="AE215" s="21">
        <v>0.76555948590858203</v>
      </c>
      <c r="AF215" s="3">
        <v>0.120522</v>
      </c>
      <c r="AG215" s="3">
        <v>6.5929299999999996E-2</v>
      </c>
      <c r="AH215" s="3">
        <v>2.2875700000000001</v>
      </c>
      <c r="AI215" s="3">
        <v>56.183500000000002</v>
      </c>
      <c r="AJ215" s="3">
        <v>0.40014</v>
      </c>
      <c r="AK215" s="3">
        <v>-4.0664899999999997E-2</v>
      </c>
      <c r="AL215" s="3">
        <v>0</v>
      </c>
      <c r="AM215" s="3">
        <v>2.6060300000000002E-2</v>
      </c>
      <c r="AN215" s="3">
        <v>-0.42426599999999998</v>
      </c>
      <c r="AO215" s="3">
        <v>1.2454000000000001</v>
      </c>
      <c r="AP215" s="3">
        <v>8.3655300000000002E-2</v>
      </c>
      <c r="AQ215" s="3">
        <v>2.4501400000000002</v>
      </c>
      <c r="AR215" s="3">
        <v>0</v>
      </c>
      <c r="AS215" s="3">
        <v>3.7701800000000001E-2</v>
      </c>
      <c r="AT215" s="3">
        <v>-6.3460199999999994E-2</v>
      </c>
      <c r="AU215" s="3">
        <v>24.245100000000001</v>
      </c>
      <c r="AV215" s="3">
        <v>0.21688499999999999</v>
      </c>
      <c r="AW215" s="3">
        <v>0.42482500000000001</v>
      </c>
      <c r="AX215" s="3">
        <v>1.1851400000000001</v>
      </c>
      <c r="AY215" s="3">
        <v>0.35445199999999999</v>
      </c>
      <c r="AZ215" s="21">
        <v>3.0279500000000001</v>
      </c>
      <c r="BA215" s="3">
        <v>59.77</v>
      </c>
      <c r="BB215" s="3">
        <v>2</v>
      </c>
    </row>
    <row r="216" spans="1:54" s="3" customFormat="1" ht="220.5" customHeight="1" x14ac:dyDescent="0.25">
      <c r="A216" s="2">
        <v>214</v>
      </c>
      <c r="B216" s="3">
        <v>5</v>
      </c>
      <c r="C216" s="2">
        <v>1</v>
      </c>
      <c r="D216" s="9">
        <v>79</v>
      </c>
      <c r="E216" s="3" t="s">
        <v>53</v>
      </c>
      <c r="F216" s="3">
        <f t="shared" si="29"/>
        <v>1</v>
      </c>
      <c r="G216" s="11"/>
      <c r="H216" s="3" t="s">
        <v>84</v>
      </c>
      <c r="I216" s="3">
        <f t="shared" si="26"/>
        <v>3</v>
      </c>
      <c r="J216" s="3" t="s">
        <v>87</v>
      </c>
      <c r="K216" s="3">
        <v>3</v>
      </c>
      <c r="L216" s="6" t="s">
        <v>220</v>
      </c>
      <c r="M216" s="3" t="s">
        <v>97</v>
      </c>
      <c r="N216" s="3" t="s">
        <v>97</v>
      </c>
      <c r="O216" s="3" t="s">
        <v>97</v>
      </c>
      <c r="P216" s="3" t="s">
        <v>97</v>
      </c>
      <c r="Q216" s="17">
        <v>0.1294973544973545</v>
      </c>
      <c r="R216" s="21">
        <v>0.20537786970778821</v>
      </c>
      <c r="S216" s="3">
        <v>5</v>
      </c>
      <c r="T216" s="3">
        <v>196.06</v>
      </c>
      <c r="U216" s="3">
        <v>326.77999999999997</v>
      </c>
      <c r="V216" s="26">
        <v>0.54233740886253001</v>
      </c>
      <c r="W216" s="18">
        <v>-0.605186703513937</v>
      </c>
      <c r="X216" s="18">
        <v>0.144018452348604</v>
      </c>
      <c r="Y216" s="18">
        <v>2.15335239155486</v>
      </c>
      <c r="Z216" s="18">
        <v>-0.66328086328887303</v>
      </c>
      <c r="AA216" s="18">
        <v>-0.80185851932354002</v>
      </c>
      <c r="AB216" s="18">
        <v>-0.42872153351938302</v>
      </c>
      <c r="AC216" s="18">
        <v>-1.57759284385336</v>
      </c>
      <c r="AD216" s="18">
        <v>0.42915503569399599</v>
      </c>
      <c r="AE216" s="21">
        <v>0.33520673474773499</v>
      </c>
      <c r="AF216" s="3">
        <v>3.1400199999999998</v>
      </c>
      <c r="AG216" s="3">
        <v>0.66315900000000005</v>
      </c>
      <c r="AH216" s="3">
        <v>4.0752300000000004</v>
      </c>
      <c r="AI216" s="3">
        <v>56.630499999999998</v>
      </c>
      <c r="AJ216" s="3">
        <v>0.30166199999999999</v>
      </c>
      <c r="AK216" s="3">
        <v>-0.13647899999999999</v>
      </c>
      <c r="AL216" s="3">
        <v>0</v>
      </c>
      <c r="AM216" s="3">
        <v>0.49018800000000001</v>
      </c>
      <c r="AN216" s="3">
        <v>1.4878100000000001</v>
      </c>
      <c r="AO216" s="3">
        <v>1.0833999999999999</v>
      </c>
      <c r="AP216" s="3">
        <v>0.19389200000000001</v>
      </c>
      <c r="AQ216" s="3">
        <v>3.37792</v>
      </c>
      <c r="AR216" s="3">
        <v>0</v>
      </c>
      <c r="AS216" s="3">
        <v>0.107197</v>
      </c>
      <c r="AT216" s="3">
        <v>-0.227183</v>
      </c>
      <c r="AU216" s="3">
        <v>18.114799999999999</v>
      </c>
      <c r="AV216" s="3">
        <v>0.232904</v>
      </c>
      <c r="AW216" s="3">
        <v>0.45690599999999998</v>
      </c>
      <c r="AX216" s="3">
        <v>1.3863799999999999</v>
      </c>
      <c r="AY216" s="3">
        <v>3.9196500000000002E-2</v>
      </c>
      <c r="AZ216" s="21">
        <v>2.42517</v>
      </c>
      <c r="BA216" s="3">
        <v>130.72</v>
      </c>
      <c r="BB216" s="3">
        <v>3</v>
      </c>
    </row>
    <row r="217" spans="1:54" s="3" customFormat="1" ht="141.75" customHeight="1" x14ac:dyDescent="0.25">
      <c r="A217" s="2">
        <v>215</v>
      </c>
      <c r="B217" s="3">
        <v>6</v>
      </c>
      <c r="C217" s="2">
        <v>2</v>
      </c>
      <c r="D217" s="9">
        <v>77</v>
      </c>
      <c r="E217" s="3" t="s">
        <v>16</v>
      </c>
      <c r="F217" s="3">
        <f t="shared" si="29"/>
        <v>1</v>
      </c>
      <c r="G217" s="11" t="s">
        <v>17</v>
      </c>
      <c r="H217" s="3" t="s">
        <v>17</v>
      </c>
      <c r="I217" s="3">
        <f t="shared" si="26"/>
        <v>1</v>
      </c>
      <c r="J217" s="3" t="s">
        <v>18</v>
      </c>
      <c r="K217" s="3">
        <v>1</v>
      </c>
      <c r="L217" s="6" t="s">
        <v>230</v>
      </c>
      <c r="M217" s="3">
        <v>70</v>
      </c>
      <c r="N217" s="3">
        <f t="shared" si="27"/>
        <v>0.7</v>
      </c>
      <c r="O217" s="3">
        <v>68</v>
      </c>
      <c r="P217" s="3">
        <v>0.68</v>
      </c>
      <c r="Q217" s="17">
        <v>0.1853858024691358</v>
      </c>
      <c r="R217" s="21">
        <v>0.40821227962967782</v>
      </c>
      <c r="S217" s="3">
        <v>2</v>
      </c>
      <c r="T217" s="3">
        <v>68.900000000000006</v>
      </c>
      <c r="U217" s="3">
        <v>162.49</v>
      </c>
      <c r="V217" s="26">
        <v>-0.19926556855147801</v>
      </c>
      <c r="W217" s="18">
        <v>0.15759153890001601</v>
      </c>
      <c r="X217" s="18">
        <v>-0.248285420424703</v>
      </c>
      <c r="Y217" s="18">
        <v>-0.55376209815964506</v>
      </c>
      <c r="Z217" s="18">
        <v>1.0215761990229499</v>
      </c>
      <c r="AA217" s="18">
        <v>0.84858104583493899</v>
      </c>
      <c r="AB217" s="18">
        <v>-1.43973673608524</v>
      </c>
      <c r="AC217" s="18">
        <v>-1.50434124437995</v>
      </c>
      <c r="AD217" s="18">
        <v>0.77111848241619396</v>
      </c>
      <c r="AE217" s="21">
        <v>-0.59802932005796405</v>
      </c>
      <c r="AF217" s="3">
        <v>4.1675599999999999</v>
      </c>
      <c r="AG217" s="3">
        <v>0.19206799999999999</v>
      </c>
      <c r="AH217" s="3">
        <v>3.1019999999999999</v>
      </c>
      <c r="AI217" s="3">
        <v>50.523600000000002</v>
      </c>
      <c r="AJ217" s="3">
        <v>0.25531399999999999</v>
      </c>
      <c r="AK217" s="3">
        <v>0.54109200000000002</v>
      </c>
      <c r="AL217" s="3">
        <v>0</v>
      </c>
      <c r="AM217" s="3">
        <v>0</v>
      </c>
      <c r="AN217" s="3">
        <v>-0.449102</v>
      </c>
      <c r="AO217" s="3">
        <v>4.0777900000000002</v>
      </c>
      <c r="AP217" s="3">
        <v>0.212536</v>
      </c>
      <c r="AQ217" s="3">
        <v>1.80369</v>
      </c>
      <c r="AR217" s="3">
        <v>2.80829</v>
      </c>
      <c r="AS217" s="3">
        <v>0.38464500000000001</v>
      </c>
      <c r="AT217" s="3">
        <v>3.6083699999999999</v>
      </c>
      <c r="AU217" s="3">
        <v>0</v>
      </c>
      <c r="AV217" s="3">
        <v>0.20580799999999999</v>
      </c>
      <c r="AW217" s="3">
        <v>0.88212199999999996</v>
      </c>
      <c r="AX217" s="3">
        <v>8.9762800000000004E-2</v>
      </c>
      <c r="AY217" s="3">
        <v>9.6387100000000003E-2</v>
      </c>
      <c r="AZ217" s="21">
        <v>3.6339600000000001</v>
      </c>
      <c r="BA217" s="3">
        <v>93.59</v>
      </c>
      <c r="BB217" s="3">
        <v>1</v>
      </c>
    </row>
    <row r="218" spans="1:54" s="3" customFormat="1" ht="63" customHeight="1" x14ac:dyDescent="0.25">
      <c r="A218" s="2">
        <v>216</v>
      </c>
      <c r="B218" s="3">
        <v>6</v>
      </c>
      <c r="C218" s="2">
        <v>2</v>
      </c>
      <c r="D218" s="9">
        <v>77</v>
      </c>
      <c r="E218" s="3" t="s">
        <v>16</v>
      </c>
      <c r="F218" s="3">
        <f t="shared" si="29"/>
        <v>1</v>
      </c>
      <c r="G218" s="11"/>
      <c r="H218" s="3" t="s">
        <v>17</v>
      </c>
      <c r="I218" s="3">
        <f t="shared" si="26"/>
        <v>1</v>
      </c>
      <c r="J218" s="3" t="s">
        <v>19</v>
      </c>
      <c r="K218" s="3">
        <v>2</v>
      </c>
      <c r="L218" s="6" t="s">
        <v>158</v>
      </c>
      <c r="M218" s="3">
        <v>70</v>
      </c>
      <c r="N218" s="3">
        <f t="shared" si="27"/>
        <v>0.7</v>
      </c>
      <c r="O218" s="3">
        <v>68</v>
      </c>
      <c r="P218" s="3">
        <v>0.68</v>
      </c>
      <c r="Q218" s="17">
        <v>5.3125000000000012E-2</v>
      </c>
      <c r="R218" s="21">
        <v>0.15261851366818421</v>
      </c>
      <c r="S218" s="3">
        <v>4</v>
      </c>
      <c r="T218" s="3">
        <v>168.14</v>
      </c>
      <c r="U218" s="3">
        <v>191.42</v>
      </c>
      <c r="V218" s="26">
        <v>0.77065936816700698</v>
      </c>
      <c r="W218" s="18">
        <v>-0.57990889410423396</v>
      </c>
      <c r="X218" s="18">
        <v>0.48156193665472802</v>
      </c>
      <c r="Y218" s="18">
        <v>1.21218462650331</v>
      </c>
      <c r="Z218" s="18">
        <v>1.671491864629</v>
      </c>
      <c r="AA218" s="18">
        <v>1.42392836390194</v>
      </c>
      <c r="AB218" s="18">
        <v>-2.2680820119629099</v>
      </c>
      <c r="AC218" s="18">
        <v>-1.5973394393031399</v>
      </c>
      <c r="AD218" s="18">
        <v>-0.36394935613591101</v>
      </c>
      <c r="AE218" s="21">
        <v>-1.4468414390058999</v>
      </c>
      <c r="AF218" s="3">
        <v>3.2530100000000002</v>
      </c>
      <c r="AG218" s="3">
        <v>7.3145500000000002E-2</v>
      </c>
      <c r="AH218" s="3">
        <v>2.7484199999999999</v>
      </c>
      <c r="AI218" s="3">
        <v>52.564500000000002</v>
      </c>
      <c r="AJ218" s="3">
        <v>7.0607799999999998E-2</v>
      </c>
      <c r="AK218" s="3">
        <v>-0.29570299999999999</v>
      </c>
      <c r="AL218" s="3">
        <v>0</v>
      </c>
      <c r="AM218" s="3">
        <v>0</v>
      </c>
      <c r="AN218" s="3">
        <v>-0.449102</v>
      </c>
      <c r="AO218" s="3">
        <v>2.6333899999999999</v>
      </c>
      <c r="AP218" s="3">
        <v>0.113578</v>
      </c>
      <c r="AQ218" s="3">
        <v>1.5317499999999999</v>
      </c>
      <c r="AR218" s="3">
        <v>1.29088</v>
      </c>
      <c r="AS218" s="3">
        <v>9.5887100000000003E-2</v>
      </c>
      <c r="AT218" s="3">
        <v>2.9817100000000001</v>
      </c>
      <c r="AU218" s="3">
        <v>0</v>
      </c>
      <c r="AV218" s="3">
        <v>0.188416</v>
      </c>
      <c r="AW218" s="3">
        <v>0.95656099999999999</v>
      </c>
      <c r="AX218" s="3">
        <v>0</v>
      </c>
      <c r="AY218" s="3">
        <v>0</v>
      </c>
      <c r="AZ218" s="21">
        <v>-0.56641900000000001</v>
      </c>
      <c r="BA218" s="3">
        <v>23.277999999999999</v>
      </c>
      <c r="BB218" s="3">
        <v>2</v>
      </c>
    </row>
    <row r="219" spans="1:54" s="3" customFormat="1" ht="78.75" customHeight="1" x14ac:dyDescent="0.25">
      <c r="A219" s="2">
        <v>217</v>
      </c>
      <c r="B219" s="3">
        <v>6</v>
      </c>
      <c r="C219" s="2">
        <v>2</v>
      </c>
      <c r="D219" s="9">
        <v>77</v>
      </c>
      <c r="E219" s="3" t="s">
        <v>16</v>
      </c>
      <c r="F219" s="3">
        <f t="shared" si="29"/>
        <v>1</v>
      </c>
      <c r="G219" s="11"/>
      <c r="H219" s="3" t="s">
        <v>17</v>
      </c>
      <c r="I219" s="3">
        <f t="shared" si="26"/>
        <v>1</v>
      </c>
      <c r="J219" s="3" t="s">
        <v>20</v>
      </c>
      <c r="K219" s="3">
        <v>3</v>
      </c>
      <c r="L219" s="6" t="s">
        <v>208</v>
      </c>
      <c r="M219" s="3">
        <v>70</v>
      </c>
      <c r="N219" s="3">
        <f t="shared" si="27"/>
        <v>0.7</v>
      </c>
      <c r="O219" s="3">
        <v>68</v>
      </c>
      <c r="P219" s="3">
        <v>0.68</v>
      </c>
      <c r="Q219" s="17">
        <v>0.30194444444444452</v>
      </c>
      <c r="R219" s="21">
        <v>0.44856367998312119</v>
      </c>
      <c r="S219" s="3">
        <v>6</v>
      </c>
      <c r="T219" s="3">
        <v>199.4</v>
      </c>
      <c r="U219" s="3">
        <v>253.6</v>
      </c>
      <c r="V219" s="26">
        <v>-0.204148371253429</v>
      </c>
      <c r="W219" s="18">
        <v>0.54091960841057096</v>
      </c>
      <c r="X219" s="18">
        <v>-0.46807521935073099</v>
      </c>
      <c r="Y219" s="18">
        <v>9.2550759534182001E-2</v>
      </c>
      <c r="Z219" s="18">
        <v>1.1176272711498101</v>
      </c>
      <c r="AA219" s="18">
        <v>0.84883281448678705</v>
      </c>
      <c r="AB219" s="18">
        <v>-0.91107544921927097</v>
      </c>
      <c r="AC219" s="18">
        <v>-0.42827017668626199</v>
      </c>
      <c r="AD219" s="18">
        <v>0.97059434462098504</v>
      </c>
      <c r="AE219" s="21">
        <v>-1.2596623514548799</v>
      </c>
      <c r="AF219" s="3">
        <v>0.61992599999999998</v>
      </c>
      <c r="AG219" s="3">
        <v>0.19967099999999999</v>
      </c>
      <c r="AH219" s="3">
        <v>3.1425399999999999</v>
      </c>
      <c r="AI219" s="3">
        <v>35.645800000000001</v>
      </c>
      <c r="AJ219" s="3">
        <v>0.25337399999999999</v>
      </c>
      <c r="AK219" s="3">
        <v>0.79781299999999999</v>
      </c>
      <c r="AL219" s="3">
        <v>0</v>
      </c>
      <c r="AM219" s="3">
        <v>0.13053200000000001</v>
      </c>
      <c r="AN219" s="3">
        <v>0.132553</v>
      </c>
      <c r="AO219" s="3">
        <v>7.7933599999999998</v>
      </c>
      <c r="AP219" s="3">
        <v>5.1153400000000002E-2</v>
      </c>
      <c r="AQ219" s="3">
        <v>1.1277699999999999</v>
      </c>
      <c r="AR219" s="3">
        <v>7.2398499999999997</v>
      </c>
      <c r="AS219" s="3">
        <v>5.8204600000000002E-2</v>
      </c>
      <c r="AT219" s="3">
        <v>2.2319300000000002</v>
      </c>
      <c r="AU219" s="3">
        <v>0</v>
      </c>
      <c r="AV219" s="3">
        <v>0.16227900000000001</v>
      </c>
      <c r="AW219" s="3">
        <v>0.24765000000000001</v>
      </c>
      <c r="AX219" s="3">
        <v>0.61992599999999998</v>
      </c>
      <c r="AY219" s="3">
        <v>0.76558400000000004</v>
      </c>
      <c r="AZ219" s="21">
        <v>6.2760600000000002</v>
      </c>
      <c r="BA219" s="3">
        <v>54.201999999999998</v>
      </c>
      <c r="BB219" s="3">
        <v>3</v>
      </c>
    </row>
    <row r="220" spans="1:54" s="3" customFormat="1" ht="47.25" customHeight="1" x14ac:dyDescent="0.25">
      <c r="A220" s="2">
        <v>218</v>
      </c>
      <c r="B220" s="3">
        <v>6</v>
      </c>
      <c r="C220" s="2">
        <v>2</v>
      </c>
      <c r="D220" s="9">
        <v>77</v>
      </c>
      <c r="E220" s="3" t="s">
        <v>16</v>
      </c>
      <c r="F220" s="3">
        <f t="shared" si="29"/>
        <v>1</v>
      </c>
      <c r="G220" s="11"/>
      <c r="H220" s="3" t="s">
        <v>17</v>
      </c>
      <c r="I220" s="3">
        <f t="shared" si="26"/>
        <v>1</v>
      </c>
      <c r="J220" s="3" t="s">
        <v>21</v>
      </c>
      <c r="K220" s="3">
        <v>4</v>
      </c>
      <c r="L220" s="6" t="s">
        <v>153</v>
      </c>
      <c r="M220" s="3">
        <v>70</v>
      </c>
      <c r="N220" s="3">
        <f t="shared" si="27"/>
        <v>0.7</v>
      </c>
      <c r="O220" s="3">
        <v>68</v>
      </c>
      <c r="P220" s="3">
        <v>0.68</v>
      </c>
      <c r="Q220" s="17">
        <v>0.51388888888888895</v>
      </c>
      <c r="R220" s="21">
        <v>0.44599555719428091</v>
      </c>
      <c r="S220" s="3">
        <v>8</v>
      </c>
      <c r="T220" s="3">
        <v>267.64</v>
      </c>
      <c r="U220" s="3">
        <v>293.29000000000002</v>
      </c>
      <c r="V220" s="26">
        <v>2.1846939906384</v>
      </c>
      <c r="W220" s="18">
        <v>2.7420053944043898</v>
      </c>
      <c r="X220" s="18">
        <v>2.4309827586646402</v>
      </c>
      <c r="Y220" s="18">
        <v>0.62717607174725398</v>
      </c>
      <c r="Z220" s="18">
        <v>1.83514466185449</v>
      </c>
      <c r="AA220" s="18">
        <v>1.2206111903855801</v>
      </c>
      <c r="AB220" s="18">
        <v>1.2724970157172899</v>
      </c>
      <c r="AC220" s="18">
        <v>-1.9946305785344201</v>
      </c>
      <c r="AD220" s="18">
        <v>0.77927315602833902</v>
      </c>
      <c r="AE220" s="21">
        <v>-1.17658286339748</v>
      </c>
      <c r="AF220" s="3">
        <v>3.1357300000000001</v>
      </c>
      <c r="AG220" s="3">
        <v>0.173959</v>
      </c>
      <c r="AH220" s="3">
        <v>2.8319100000000001</v>
      </c>
      <c r="AI220" s="3">
        <v>55.506999999999998</v>
      </c>
      <c r="AJ220" s="3">
        <v>0.18626799999999999</v>
      </c>
      <c r="AK220" s="3">
        <v>0.20522299999999999</v>
      </c>
      <c r="AL220" s="3">
        <v>0</v>
      </c>
      <c r="AM220" s="3">
        <v>5.0128100000000002E-2</v>
      </c>
      <c r="AN220" s="3">
        <v>-0.37775599999999998</v>
      </c>
      <c r="AO220" s="3">
        <v>10.577199999999999</v>
      </c>
      <c r="AP220" s="3">
        <v>0.118384</v>
      </c>
      <c r="AQ220" s="3">
        <v>1.5109900000000001</v>
      </c>
      <c r="AR220" s="3">
        <v>0</v>
      </c>
      <c r="AS220" s="3">
        <v>6.8210099999999996E-2</v>
      </c>
      <c r="AT220" s="3">
        <v>1.93357</v>
      </c>
      <c r="AU220" s="3">
        <v>0</v>
      </c>
      <c r="AV220" s="3">
        <v>0.29655399999999998</v>
      </c>
      <c r="AW220" s="3">
        <v>0.65620100000000003</v>
      </c>
      <c r="AX220" s="3">
        <v>0</v>
      </c>
      <c r="AY220" s="3">
        <v>0</v>
      </c>
      <c r="AZ220" s="21">
        <v>-0.56641900000000001</v>
      </c>
      <c r="BA220" s="3">
        <v>25.65</v>
      </c>
      <c r="BB220" s="3">
        <v>4</v>
      </c>
    </row>
    <row r="221" spans="1:54" s="3" customFormat="1" ht="94.5" customHeight="1" x14ac:dyDescent="0.25">
      <c r="A221" s="2">
        <v>219</v>
      </c>
      <c r="B221" s="3">
        <v>6</v>
      </c>
      <c r="C221" s="2">
        <v>2</v>
      </c>
      <c r="D221" s="9">
        <v>77</v>
      </c>
      <c r="E221" s="3" t="s">
        <v>16</v>
      </c>
      <c r="F221" s="3">
        <f>IF(E222="Happy", 1,2)</f>
        <v>1</v>
      </c>
      <c r="G221" s="11"/>
      <c r="H221" s="3" t="s">
        <v>17</v>
      </c>
      <c r="I221" s="3">
        <f t="shared" si="26"/>
        <v>1</v>
      </c>
      <c r="J221" s="3" t="s">
        <v>22</v>
      </c>
      <c r="K221" s="3">
        <v>5</v>
      </c>
      <c r="L221" s="6" t="s">
        <v>167</v>
      </c>
      <c r="M221" s="3">
        <v>70</v>
      </c>
      <c r="N221" s="3">
        <f t="shared" si="27"/>
        <v>0.7</v>
      </c>
      <c r="O221" s="3">
        <v>68</v>
      </c>
      <c r="P221" s="3">
        <v>0.68</v>
      </c>
      <c r="Q221" s="17">
        <v>6.3981481481481486E-2</v>
      </c>
      <c r="R221" s="21">
        <v>0.26120174254518669</v>
      </c>
      <c r="S221" s="3">
        <v>10</v>
      </c>
      <c r="T221" s="3">
        <v>294</v>
      </c>
      <c r="U221" s="3">
        <v>340.76</v>
      </c>
      <c r="V221" s="26">
        <v>-0.19072692382652801</v>
      </c>
      <c r="W221" s="18">
        <v>1.48454048755067</v>
      </c>
      <c r="X221" s="18">
        <v>-0.23701950856885201</v>
      </c>
      <c r="Y221" s="18">
        <v>-3.10711406047991E-2</v>
      </c>
      <c r="Z221" s="18">
        <v>1.5327667719597899</v>
      </c>
      <c r="AA221" s="18">
        <v>1.0245673334782199</v>
      </c>
      <c r="AB221" s="18">
        <v>-1.5765612073184001</v>
      </c>
      <c r="AC221" s="18">
        <v>-1.5285706591492101</v>
      </c>
      <c r="AD221" s="18">
        <v>0.50123014998345405</v>
      </c>
      <c r="AE221" s="21">
        <v>-1.6670521302424</v>
      </c>
      <c r="AF221" s="3">
        <v>1.64313</v>
      </c>
      <c r="AG221" s="3">
        <v>9.7348199999999996E-2</v>
      </c>
      <c r="AH221" s="3">
        <v>2.6790099999999999</v>
      </c>
      <c r="AI221" s="3">
        <v>38.356900000000003</v>
      </c>
      <c r="AJ221" s="3">
        <v>0.11186400000000001</v>
      </c>
      <c r="AK221" s="3">
        <v>-8.9233300000000002E-3</v>
      </c>
      <c r="AL221" s="3">
        <v>0</v>
      </c>
      <c r="AM221" s="3">
        <v>0</v>
      </c>
      <c r="AN221" s="3">
        <v>-0.449102</v>
      </c>
      <c r="AO221" s="3">
        <v>11.835699999999999</v>
      </c>
      <c r="AP221" s="3">
        <v>8.7145E-2</v>
      </c>
      <c r="AQ221" s="3">
        <v>1.4240900000000001</v>
      </c>
      <c r="AR221" s="3">
        <v>3.67137</v>
      </c>
      <c r="AS221" s="3">
        <v>2.7455199999999999E-2</v>
      </c>
      <c r="AT221" s="3">
        <v>2.1286200000000002</v>
      </c>
      <c r="AU221" s="3">
        <v>0</v>
      </c>
      <c r="AV221" s="3">
        <v>1.3568E-2</v>
      </c>
      <c r="AW221" s="3">
        <v>-0.58269199999999999</v>
      </c>
      <c r="AX221" s="3">
        <v>0</v>
      </c>
      <c r="AY221" s="3">
        <v>0</v>
      </c>
      <c r="AZ221" s="21">
        <v>-0.56641900000000001</v>
      </c>
      <c r="BA221" s="3">
        <v>46.76</v>
      </c>
      <c r="BB221" s="3">
        <v>5</v>
      </c>
    </row>
    <row r="222" spans="1:54" s="3" customFormat="1" ht="31.5" customHeight="1" x14ac:dyDescent="0.25">
      <c r="A222" s="2">
        <v>220</v>
      </c>
      <c r="B222" s="3">
        <v>6</v>
      </c>
      <c r="C222" s="2">
        <v>2</v>
      </c>
      <c r="D222" s="9">
        <v>77</v>
      </c>
      <c r="E222" s="3" t="s">
        <v>16</v>
      </c>
      <c r="F222" s="3">
        <f>IF(E223="Happy", 1,2)</f>
        <v>1</v>
      </c>
      <c r="G222" s="11"/>
      <c r="H222" s="3" t="s">
        <v>17</v>
      </c>
      <c r="I222" s="3">
        <f t="shared" si="26"/>
        <v>1</v>
      </c>
      <c r="J222" s="3" t="s">
        <v>23</v>
      </c>
      <c r="K222" s="3">
        <v>6</v>
      </c>
      <c r="L222" s="6" t="s">
        <v>157</v>
      </c>
      <c r="M222" s="3">
        <v>70</v>
      </c>
      <c r="N222" s="3">
        <f t="shared" si="27"/>
        <v>0.7</v>
      </c>
      <c r="O222" s="3">
        <v>68</v>
      </c>
      <c r="P222" s="3">
        <v>0.68</v>
      </c>
      <c r="Q222" s="17">
        <v>0.65749999999999997</v>
      </c>
      <c r="R222" s="21">
        <v>0.40305086527633199</v>
      </c>
      <c r="S222" s="3">
        <v>12</v>
      </c>
      <c r="T222" s="3">
        <v>343.37</v>
      </c>
      <c r="U222" s="3">
        <v>357.68</v>
      </c>
      <c r="V222" s="26">
        <v>-0.412406166495138</v>
      </c>
      <c r="W222" s="18">
        <v>-0.96341183955890797</v>
      </c>
      <c r="X222" s="18">
        <v>-0.47763584181433799</v>
      </c>
      <c r="Y222" s="18">
        <v>-0.12778444863702401</v>
      </c>
      <c r="Z222" s="18">
        <v>0.73639221060891003</v>
      </c>
      <c r="AA222" s="18">
        <v>0.49101361161835799</v>
      </c>
      <c r="AB222" s="18">
        <v>0.84886560187527205</v>
      </c>
      <c r="AC222" s="18">
        <v>-0.411167060378548</v>
      </c>
      <c r="AD222" s="18">
        <v>-0.402684055793603</v>
      </c>
      <c r="AE222" s="21">
        <v>-0.63906858524294696</v>
      </c>
      <c r="AF222" s="3">
        <v>2.7692299999999999</v>
      </c>
      <c r="AG222" s="3">
        <v>0.180924</v>
      </c>
      <c r="AH222" s="3">
        <v>3.10751</v>
      </c>
      <c r="AI222" s="3">
        <v>54.797199999999997</v>
      </c>
      <c r="AJ222" s="3">
        <v>0.35948999999999998</v>
      </c>
      <c r="AK222" s="3">
        <v>0.38516499999999998</v>
      </c>
      <c r="AL222" s="3">
        <v>0</v>
      </c>
      <c r="AM222" s="3">
        <v>0.164966</v>
      </c>
      <c r="AN222" s="3">
        <v>0.22603200000000001</v>
      </c>
      <c r="AO222" s="3">
        <v>2.43357</v>
      </c>
      <c r="AP222" s="3">
        <v>5.5590100000000003E-2</v>
      </c>
      <c r="AQ222" s="3">
        <v>1.2195100000000001</v>
      </c>
      <c r="AR222" s="3">
        <v>0</v>
      </c>
      <c r="AS222" s="3">
        <v>0.10878699999999999</v>
      </c>
      <c r="AT222" s="3">
        <v>-0.26766299999999998</v>
      </c>
      <c r="AU222" s="3">
        <v>0</v>
      </c>
      <c r="AV222" s="3">
        <v>0.19714499999999999</v>
      </c>
      <c r="AW222" s="3">
        <v>0.70434600000000003</v>
      </c>
      <c r="AX222" s="3">
        <v>0</v>
      </c>
      <c r="AY222" s="3">
        <v>8.1718600000000002E-2</v>
      </c>
      <c r="AZ222" s="21">
        <v>-0.42431200000000002</v>
      </c>
      <c r="BA222" s="3">
        <v>14.314</v>
      </c>
      <c r="BB222" s="3">
        <v>6</v>
      </c>
    </row>
    <row r="223" spans="1:54" s="3" customFormat="1" ht="63" customHeight="1" x14ac:dyDescent="0.25">
      <c r="A223" s="2">
        <v>221</v>
      </c>
      <c r="B223" s="3">
        <v>6</v>
      </c>
      <c r="C223" s="2">
        <v>2</v>
      </c>
      <c r="D223" s="9">
        <v>77</v>
      </c>
      <c r="E223" s="3" t="s">
        <v>16</v>
      </c>
      <c r="F223" s="3">
        <f t="shared" ref="F223:F230" si="30">IF(E223="Happy", 1,2)</f>
        <v>1</v>
      </c>
      <c r="G223" s="11" t="s">
        <v>26</v>
      </c>
      <c r="H223" s="3" t="s">
        <v>26</v>
      </c>
      <c r="I223" s="3">
        <f t="shared" si="26"/>
        <v>2</v>
      </c>
      <c r="J223" s="3" t="s">
        <v>27</v>
      </c>
      <c r="K223" s="3">
        <v>1</v>
      </c>
      <c r="L223" s="6" t="s">
        <v>156</v>
      </c>
      <c r="M223" s="3">
        <v>98</v>
      </c>
      <c r="N223" s="3">
        <f t="shared" si="27"/>
        <v>0.98</v>
      </c>
      <c r="O223" s="3">
        <v>45</v>
      </c>
      <c r="P223" s="3">
        <v>0.45</v>
      </c>
      <c r="Q223" s="17">
        <v>0.35942460317460317</v>
      </c>
      <c r="R223" s="21">
        <v>0.31553389958345868</v>
      </c>
      <c r="S223" s="3">
        <v>2</v>
      </c>
      <c r="T223" s="3">
        <v>34.03</v>
      </c>
      <c r="U223" s="3">
        <v>68.38</v>
      </c>
      <c r="V223" s="26">
        <v>-1.58218797380659</v>
      </c>
      <c r="W223" s="18">
        <v>-0.77977266757268304</v>
      </c>
      <c r="X223" s="18">
        <v>-1.16362425591198</v>
      </c>
      <c r="Y223" s="18">
        <v>-0.75005971463716203</v>
      </c>
      <c r="Z223" s="18">
        <v>2.5365690342713802E-2</v>
      </c>
      <c r="AA223" s="18">
        <v>5.6349021346320603E-2</v>
      </c>
      <c r="AB223" s="18">
        <v>-1.6771894717537399</v>
      </c>
      <c r="AC223" s="18">
        <v>0.69911023993056298</v>
      </c>
      <c r="AD223" s="18">
        <v>-9.02973281898731E-2</v>
      </c>
      <c r="AE223" s="21">
        <v>-0.40584544406975098</v>
      </c>
      <c r="AF223" s="3">
        <v>10.9091</v>
      </c>
      <c r="AG223" s="3">
        <v>0.35025499999999998</v>
      </c>
      <c r="AH223" s="3">
        <v>4.4190100000000001</v>
      </c>
      <c r="AI223" s="3">
        <v>54.685299999999998</v>
      </c>
      <c r="AJ223" s="3">
        <v>0.33595799999999998</v>
      </c>
      <c r="AK223" s="3">
        <v>0.66117300000000001</v>
      </c>
      <c r="AL223" s="3">
        <v>0</v>
      </c>
      <c r="AM223" s="3">
        <v>8.6481100000000005E-2</v>
      </c>
      <c r="AN223" s="3">
        <v>-0.19373299999999999</v>
      </c>
      <c r="AO223" s="3">
        <v>4.8601400000000003</v>
      </c>
      <c r="AP223" s="3">
        <v>9.7519700000000001E-2</v>
      </c>
      <c r="AQ223" s="3">
        <v>1.8856599999999999</v>
      </c>
      <c r="AR223" s="3">
        <v>1.7482500000000001</v>
      </c>
      <c r="AS223" s="3">
        <v>5.5423800000000002E-2</v>
      </c>
      <c r="AT223" s="3">
        <v>2.5845699999999998</v>
      </c>
      <c r="AU223" s="3">
        <v>0</v>
      </c>
      <c r="AV223" s="3">
        <v>0.20378099999999999</v>
      </c>
      <c r="AW223" s="3">
        <v>0.39357999999999999</v>
      </c>
      <c r="AX223" s="3">
        <v>4.5104899999999999</v>
      </c>
      <c r="AY223" s="3">
        <v>0.115648</v>
      </c>
      <c r="AZ223" s="21">
        <v>3.4423599999999999</v>
      </c>
      <c r="BA223" s="3">
        <v>34.353999999999999</v>
      </c>
      <c r="BB223" s="3">
        <v>1</v>
      </c>
    </row>
    <row r="224" spans="1:54" s="3" customFormat="1" ht="47.25" customHeight="1" x14ac:dyDescent="0.25">
      <c r="A224" s="2">
        <v>222</v>
      </c>
      <c r="B224" s="3">
        <v>6</v>
      </c>
      <c r="C224" s="2">
        <v>2</v>
      </c>
      <c r="D224" s="9">
        <v>77</v>
      </c>
      <c r="E224" s="3" t="s">
        <v>16</v>
      </c>
      <c r="F224" s="3">
        <f t="shared" si="30"/>
        <v>1</v>
      </c>
      <c r="G224" s="11"/>
      <c r="H224" s="3" t="s">
        <v>26</v>
      </c>
      <c r="I224" s="3">
        <f t="shared" si="26"/>
        <v>2</v>
      </c>
      <c r="J224" s="3" t="s">
        <v>28</v>
      </c>
      <c r="K224" s="3">
        <v>2</v>
      </c>
      <c r="L224" s="6" t="s">
        <v>147</v>
      </c>
      <c r="M224" s="3">
        <v>98</v>
      </c>
      <c r="N224" s="3">
        <f t="shared" si="27"/>
        <v>0.98</v>
      </c>
      <c r="O224" s="3">
        <v>45</v>
      </c>
      <c r="P224" s="3">
        <v>0.45</v>
      </c>
      <c r="Q224" s="17">
        <v>6.2500000000000012E-3</v>
      </c>
      <c r="R224" s="21">
        <v>8.8388347648318457E-3</v>
      </c>
      <c r="S224" s="3">
        <v>4</v>
      </c>
      <c r="T224" s="3">
        <v>75.900000000000006</v>
      </c>
      <c r="U224" s="3">
        <v>96.78</v>
      </c>
      <c r="V224" s="26">
        <v>-0.872090740866584</v>
      </c>
      <c r="W224" s="18">
        <v>-1.10392466065915</v>
      </c>
      <c r="X224" s="18">
        <v>-0.69892189465872101</v>
      </c>
      <c r="Y224" s="18">
        <v>1.2237812164070601</v>
      </c>
      <c r="Z224" s="18">
        <v>0.82857638119795296</v>
      </c>
      <c r="AA224" s="18">
        <v>1.0558146206023</v>
      </c>
      <c r="AB224" s="18">
        <v>0.604435848337598</v>
      </c>
      <c r="AC224" s="18">
        <v>-0.82235448160984304</v>
      </c>
      <c r="AD224" s="18">
        <v>-1.06917180294011</v>
      </c>
      <c r="AE224" s="21">
        <v>-0.34078319438624199</v>
      </c>
      <c r="AF224" s="3">
        <v>0</v>
      </c>
      <c r="AG224" s="3">
        <v>0.30351099999999998</v>
      </c>
      <c r="AH224" s="3">
        <v>-0.12442400000000001</v>
      </c>
      <c r="AI224" s="3">
        <v>50.162999999999997</v>
      </c>
      <c r="AJ224" s="3">
        <v>0.316994</v>
      </c>
      <c r="AK224" s="3">
        <v>0.83772400000000002</v>
      </c>
      <c r="AL224" s="3">
        <v>0</v>
      </c>
      <c r="AM224" s="3">
        <v>0</v>
      </c>
      <c r="AN224" s="3">
        <v>-0.43157899999999999</v>
      </c>
      <c r="AO224" s="3">
        <v>3.7967399999999998</v>
      </c>
      <c r="AP224" s="3">
        <v>4.77261E-2</v>
      </c>
      <c r="AQ224" s="3">
        <v>1.5364599999999999</v>
      </c>
      <c r="AR224" s="3">
        <v>3.3365300000000002</v>
      </c>
      <c r="AS224" s="3">
        <v>0.13400599999999999</v>
      </c>
      <c r="AT224" s="3">
        <v>3.1869200000000002</v>
      </c>
      <c r="AU224" s="3">
        <v>0</v>
      </c>
      <c r="AV224" s="3">
        <v>0.21265400000000001</v>
      </c>
      <c r="AW224" s="3">
        <v>0.31324000000000002</v>
      </c>
      <c r="AX224" s="3">
        <v>0</v>
      </c>
      <c r="AY224" s="3">
        <v>0.127552</v>
      </c>
      <c r="AZ224" s="21">
        <v>-0.33246500000000001</v>
      </c>
      <c r="BA224" s="3">
        <v>20.885000000000002</v>
      </c>
      <c r="BB224" s="3">
        <v>2</v>
      </c>
    </row>
    <row r="225" spans="1:54" s="3" customFormat="1" ht="157.5" customHeight="1" x14ac:dyDescent="0.25">
      <c r="A225" s="2">
        <v>223</v>
      </c>
      <c r="B225" s="3">
        <v>6</v>
      </c>
      <c r="C225" s="2">
        <v>2</v>
      </c>
      <c r="D225" s="9">
        <v>77</v>
      </c>
      <c r="E225" s="3" t="s">
        <v>16</v>
      </c>
      <c r="F225" s="3">
        <f t="shared" si="30"/>
        <v>1</v>
      </c>
      <c r="G225" s="11"/>
      <c r="H225" s="3" t="s">
        <v>26</v>
      </c>
      <c r="I225" s="3">
        <f t="shared" si="26"/>
        <v>2</v>
      </c>
      <c r="J225" s="3" t="s">
        <v>29</v>
      </c>
      <c r="K225" s="3">
        <v>3</v>
      </c>
      <c r="L225" s="6" t="s">
        <v>204</v>
      </c>
      <c r="M225" s="3">
        <v>98</v>
      </c>
      <c r="N225" s="3">
        <f t="shared" si="27"/>
        <v>0.98</v>
      </c>
      <c r="O225" s="3">
        <v>45</v>
      </c>
      <c r="P225" s="3">
        <v>0.45</v>
      </c>
      <c r="Q225" s="17">
        <v>5.2374999999999977E-2</v>
      </c>
      <c r="R225" s="21">
        <v>0.28099676871412199</v>
      </c>
      <c r="S225" s="3">
        <v>6</v>
      </c>
      <c r="T225" s="3">
        <v>102</v>
      </c>
      <c r="U225" s="3">
        <v>172.84</v>
      </c>
      <c r="V225" s="26">
        <v>-7.8948301972612406E-2</v>
      </c>
      <c r="W225" s="18">
        <v>-0.27169975792335299</v>
      </c>
      <c r="X225" s="18">
        <v>-0.25394038008672098</v>
      </c>
      <c r="Y225" s="18">
        <v>1.37042741397629</v>
      </c>
      <c r="Z225" s="18">
        <v>1.00479660842135</v>
      </c>
      <c r="AA225" s="18">
        <v>1.0774946989560701</v>
      </c>
      <c r="AB225" s="18">
        <v>-1.5160156764133801</v>
      </c>
      <c r="AC225" s="18">
        <v>-0.18241287976287099</v>
      </c>
      <c r="AD225" s="18">
        <v>-0.69233178967115705</v>
      </c>
      <c r="AE225" s="21">
        <v>-0.33477744826160999</v>
      </c>
      <c r="AF225" s="3">
        <v>0.11861099999999999</v>
      </c>
      <c r="AG225" s="3">
        <v>6.5429000000000001E-2</v>
      </c>
      <c r="AH225" s="3">
        <v>3.5724499999999999</v>
      </c>
      <c r="AI225" s="3">
        <v>54.747199999999999</v>
      </c>
      <c r="AJ225" s="3">
        <v>0.121147</v>
      </c>
      <c r="AK225" s="3">
        <v>0.13262399999999999</v>
      </c>
      <c r="AL225" s="3">
        <v>0</v>
      </c>
      <c r="AM225" s="3">
        <v>0.14716399999999999</v>
      </c>
      <c r="AN225" s="3">
        <v>0.13464100000000001</v>
      </c>
      <c r="AO225" s="3">
        <v>6.7777500000000002</v>
      </c>
      <c r="AP225" s="3">
        <v>7.0965600000000004E-2</v>
      </c>
      <c r="AQ225" s="3">
        <v>1.63687</v>
      </c>
      <c r="AR225" s="3">
        <v>0</v>
      </c>
      <c r="AS225" s="3">
        <v>5.0442500000000001E-2</v>
      </c>
      <c r="AT225" s="3">
        <v>-0.77097000000000004</v>
      </c>
      <c r="AU225" s="3">
        <v>0</v>
      </c>
      <c r="AV225" s="3">
        <v>2.2607800000000001E-2</v>
      </c>
      <c r="AW225" s="3">
        <v>-0.38703500000000002</v>
      </c>
      <c r="AX225" s="3">
        <v>0.47444199999999997</v>
      </c>
      <c r="AY225" s="3">
        <v>0.28120600000000001</v>
      </c>
      <c r="AZ225" s="21">
        <v>4.5503999999999998</v>
      </c>
      <c r="BA225" s="3">
        <v>70.84</v>
      </c>
      <c r="BB225" s="3">
        <v>3</v>
      </c>
    </row>
    <row r="226" spans="1:54" s="3" customFormat="1" ht="126" customHeight="1" x14ac:dyDescent="0.25">
      <c r="A226" s="2">
        <v>224</v>
      </c>
      <c r="B226" s="3">
        <v>6</v>
      </c>
      <c r="C226" s="2">
        <v>2</v>
      </c>
      <c r="D226" s="9">
        <v>77</v>
      </c>
      <c r="E226" s="3" t="s">
        <v>16</v>
      </c>
      <c r="F226" s="3">
        <f t="shared" si="30"/>
        <v>1</v>
      </c>
      <c r="G226" s="11"/>
      <c r="H226" s="3" t="s">
        <v>26</v>
      </c>
      <c r="I226" s="3">
        <f t="shared" si="26"/>
        <v>2</v>
      </c>
      <c r="J226" s="3" t="s">
        <v>30</v>
      </c>
      <c r="K226" s="3">
        <v>4</v>
      </c>
      <c r="L226" s="6" t="s">
        <v>204</v>
      </c>
      <c r="M226" s="3">
        <v>98</v>
      </c>
      <c r="N226" s="3">
        <f t="shared" si="27"/>
        <v>0.98</v>
      </c>
      <c r="O226" s="3">
        <v>45</v>
      </c>
      <c r="P226" s="3">
        <v>0.45</v>
      </c>
      <c r="Q226" s="17">
        <v>0.1292986111111111</v>
      </c>
      <c r="R226" s="21">
        <v>0.18393656518369059</v>
      </c>
      <c r="S226" s="3">
        <v>8</v>
      </c>
      <c r="T226" s="3">
        <v>179.4</v>
      </c>
      <c r="U226" s="3">
        <v>250.61</v>
      </c>
      <c r="V226" s="26">
        <v>1.0180797450797501</v>
      </c>
      <c r="W226" s="18">
        <v>0.54755517895689299</v>
      </c>
      <c r="X226" s="18">
        <v>0.33317975579549403</v>
      </c>
      <c r="Y226" s="18">
        <v>1.7687646477574599</v>
      </c>
      <c r="Z226" s="18">
        <v>0.76691311203239898</v>
      </c>
      <c r="AA226" s="18">
        <v>0.83806271104652896</v>
      </c>
      <c r="AB226" s="18">
        <v>-0.83985367620570806</v>
      </c>
      <c r="AC226" s="18">
        <v>-0.92532949437920498</v>
      </c>
      <c r="AD226" s="18">
        <v>-0.34356267210554697</v>
      </c>
      <c r="AE226" s="21">
        <v>0.214748322142186</v>
      </c>
      <c r="AF226" s="3">
        <v>0.20224700000000001</v>
      </c>
      <c r="AG226" s="3">
        <v>4.7609499999999999E-2</v>
      </c>
      <c r="AH226" s="3">
        <v>3.3363100000000001</v>
      </c>
      <c r="AI226" s="3">
        <v>35.865200000000002</v>
      </c>
      <c r="AJ226" s="3">
        <v>0.25813799999999998</v>
      </c>
      <c r="AK226" s="3">
        <v>0.83063600000000004</v>
      </c>
      <c r="AL226" s="3">
        <v>0</v>
      </c>
      <c r="AM226" s="3">
        <v>7.2604399999999999E-3</v>
      </c>
      <c r="AN226" s="3">
        <v>-0.42650100000000002</v>
      </c>
      <c r="AO226" s="3">
        <v>1.23034</v>
      </c>
      <c r="AP226" s="3">
        <v>0.53051599999999999</v>
      </c>
      <c r="AQ226" s="3">
        <v>3.1889500000000002</v>
      </c>
      <c r="AR226" s="3">
        <v>1.3314600000000001</v>
      </c>
      <c r="AS226" s="3">
        <v>0.16083600000000001</v>
      </c>
      <c r="AT226" s="3">
        <v>3.32748</v>
      </c>
      <c r="AU226" s="3">
        <v>0.20224700000000001</v>
      </c>
      <c r="AV226" s="3">
        <v>0.26780100000000001</v>
      </c>
      <c r="AW226" s="3">
        <v>6.6609499999999997</v>
      </c>
      <c r="AX226" s="3">
        <v>0</v>
      </c>
      <c r="AY226" s="3">
        <v>0.19749</v>
      </c>
      <c r="AZ226" s="21">
        <v>-6.3035900000000006E-2</v>
      </c>
      <c r="BA226" s="3">
        <v>71.209999999999994</v>
      </c>
      <c r="BB226" s="3">
        <v>4</v>
      </c>
    </row>
    <row r="227" spans="1:54" s="3" customFormat="1" ht="78.75" customHeight="1" x14ac:dyDescent="0.25">
      <c r="A227" s="2">
        <v>225</v>
      </c>
      <c r="B227" s="3">
        <v>6</v>
      </c>
      <c r="C227" s="2">
        <v>2</v>
      </c>
      <c r="D227" s="9">
        <v>77</v>
      </c>
      <c r="E227" s="3" t="s">
        <v>16</v>
      </c>
      <c r="F227" s="3">
        <f t="shared" si="30"/>
        <v>1</v>
      </c>
      <c r="G227" s="11"/>
      <c r="H227" s="3" t="s">
        <v>26</v>
      </c>
      <c r="I227" s="3">
        <f t="shared" si="26"/>
        <v>2</v>
      </c>
      <c r="J227" s="3" t="s">
        <v>31</v>
      </c>
      <c r="K227" s="3">
        <v>5</v>
      </c>
      <c r="L227" s="6" t="s">
        <v>178</v>
      </c>
      <c r="M227" s="3">
        <v>98</v>
      </c>
      <c r="N227" s="3">
        <f t="shared" si="27"/>
        <v>0.98</v>
      </c>
      <c r="O227" s="3">
        <v>45</v>
      </c>
      <c r="P227" s="3">
        <v>0.45</v>
      </c>
      <c r="Q227" s="17">
        <v>0.45527777777777778</v>
      </c>
      <c r="R227" s="21">
        <v>0.46402750756585298</v>
      </c>
      <c r="S227" s="3">
        <v>10</v>
      </c>
      <c r="T227" s="3">
        <v>259.35000000000002</v>
      </c>
      <c r="U227" s="3">
        <v>311.14</v>
      </c>
      <c r="V227" s="26">
        <v>0.17181491678993199</v>
      </c>
      <c r="W227" s="18">
        <v>-0.41373788586952898</v>
      </c>
      <c r="X227" s="18">
        <v>-0.113176992157347</v>
      </c>
      <c r="Y227" s="18">
        <v>0.76965650401126395</v>
      </c>
      <c r="Z227" s="18">
        <v>1.1851599444352701</v>
      </c>
      <c r="AA227" s="18">
        <v>0.69296004469686701</v>
      </c>
      <c r="AB227" s="18">
        <v>-0.38189908049719001</v>
      </c>
      <c r="AC227" s="18">
        <v>-1.4993528354568599</v>
      </c>
      <c r="AD227" s="18">
        <v>3.50246368054579</v>
      </c>
      <c r="AE227" s="21">
        <v>-1.57696593837292</v>
      </c>
      <c r="AF227" s="3">
        <v>0</v>
      </c>
      <c r="AG227" s="3">
        <v>0.18942600000000001</v>
      </c>
      <c r="AH227" s="3">
        <v>-0.388519</v>
      </c>
      <c r="AI227" s="3">
        <v>22.8825</v>
      </c>
      <c r="AJ227" s="3">
        <v>0.17960899999999999</v>
      </c>
      <c r="AK227" s="3">
        <v>0.54076400000000002</v>
      </c>
      <c r="AL227" s="3">
        <v>0</v>
      </c>
      <c r="AM227" s="3">
        <v>0</v>
      </c>
      <c r="AN227" s="3">
        <v>-0.43157899999999999</v>
      </c>
      <c r="AO227" s="3">
        <v>0.76507000000000003</v>
      </c>
      <c r="AP227" s="3">
        <v>0.18083099999999999</v>
      </c>
      <c r="AQ227" s="3">
        <v>2.0400399999999999</v>
      </c>
      <c r="AR227" s="3">
        <v>2.61978</v>
      </c>
      <c r="AS227" s="3">
        <v>5.9327600000000001E-2</v>
      </c>
      <c r="AT227" s="3">
        <v>2.67319</v>
      </c>
      <c r="AU227" s="3">
        <v>0</v>
      </c>
      <c r="AV227" s="3">
        <v>0.19336100000000001</v>
      </c>
      <c r="AW227" s="3">
        <v>2.8382399999999999</v>
      </c>
      <c r="AX227" s="3">
        <v>0</v>
      </c>
      <c r="AY227" s="3">
        <v>0</v>
      </c>
      <c r="AZ227" s="21">
        <v>-0.58096099999999995</v>
      </c>
      <c r="BA227" s="3">
        <v>51.79</v>
      </c>
      <c r="BB227" s="3">
        <v>5</v>
      </c>
    </row>
    <row r="228" spans="1:54" s="3" customFormat="1" ht="173.25" customHeight="1" x14ac:dyDescent="0.25">
      <c r="A228" s="2">
        <v>226</v>
      </c>
      <c r="B228" s="3">
        <v>6</v>
      </c>
      <c r="C228" s="2">
        <v>2</v>
      </c>
      <c r="D228" s="9">
        <v>77</v>
      </c>
      <c r="E228" s="3" t="s">
        <v>16</v>
      </c>
      <c r="F228" s="3">
        <f t="shared" si="30"/>
        <v>1</v>
      </c>
      <c r="G228" s="11" t="s">
        <v>38</v>
      </c>
      <c r="H228" s="3" t="s">
        <v>38</v>
      </c>
      <c r="I228" s="3">
        <f t="shared" si="26"/>
        <v>3</v>
      </c>
      <c r="J228" s="3" t="s">
        <v>39</v>
      </c>
      <c r="K228" s="3">
        <v>1</v>
      </c>
      <c r="L228" s="6" t="s">
        <v>187</v>
      </c>
      <c r="M228" s="3">
        <v>75</v>
      </c>
      <c r="N228" s="3">
        <f t="shared" si="27"/>
        <v>0.75</v>
      </c>
      <c r="O228" s="3">
        <v>44</v>
      </c>
      <c r="P228" s="3">
        <v>0.44</v>
      </c>
      <c r="Q228" s="17">
        <v>-6.3310489766081862E-2</v>
      </c>
      <c r="R228" s="21">
        <v>0.269430033242196</v>
      </c>
      <c r="S228" s="3">
        <v>2</v>
      </c>
      <c r="T228" s="3">
        <v>27.05</v>
      </c>
      <c r="U228" s="3">
        <v>137.34</v>
      </c>
      <c r="V228" s="26">
        <v>0.12764433234766001</v>
      </c>
      <c r="W228" s="18">
        <v>-0.28410623462562901</v>
      </c>
      <c r="X228" s="18">
        <v>-4.4618857655655403E-2</v>
      </c>
      <c r="Y228" s="18">
        <v>1.30580175761949</v>
      </c>
      <c r="Z228" s="18">
        <v>-0.362636447889369</v>
      </c>
      <c r="AA228" s="18">
        <v>-2.2566463861390901E-2</v>
      </c>
      <c r="AB228" s="18">
        <v>-0.81044718478393296</v>
      </c>
      <c r="AC228" s="18">
        <v>0.124374269006753</v>
      </c>
      <c r="AD228" s="18">
        <v>0.50765979648533799</v>
      </c>
      <c r="AE228" s="21">
        <v>7.6616161275658207E-2</v>
      </c>
      <c r="AF228" s="3">
        <v>1.59985</v>
      </c>
      <c r="AG228" s="3">
        <v>0.35659299999999999</v>
      </c>
      <c r="AH228" s="3">
        <v>3.9448500000000002</v>
      </c>
      <c r="AI228" s="3">
        <v>45.699300000000001</v>
      </c>
      <c r="AJ228" s="3">
        <v>0.47853200000000001</v>
      </c>
      <c r="AK228" s="3">
        <v>1.61992</v>
      </c>
      <c r="AL228" s="3">
        <v>0</v>
      </c>
      <c r="AM228" s="3">
        <v>3.4156500000000001E-3</v>
      </c>
      <c r="AN228" s="3">
        <v>-0.46006000000000002</v>
      </c>
      <c r="AO228" s="3">
        <v>5.3981500000000002</v>
      </c>
      <c r="AP228" s="3">
        <v>0.19303400000000001</v>
      </c>
      <c r="AQ228" s="3">
        <v>1.6491800000000001</v>
      </c>
      <c r="AR228" s="3">
        <v>1.38219</v>
      </c>
      <c r="AS228" s="3">
        <v>0.514872</v>
      </c>
      <c r="AT228" s="3">
        <v>5.1908599999999998</v>
      </c>
      <c r="AU228" s="3">
        <v>0.37003399999999997</v>
      </c>
      <c r="AV228" s="3">
        <v>7.3127399999999995E-2</v>
      </c>
      <c r="AW228" s="3">
        <v>4.6968300000000003</v>
      </c>
      <c r="AX228" s="3">
        <v>0.26120100000000002</v>
      </c>
      <c r="AY228" s="3">
        <v>0.66751300000000002</v>
      </c>
      <c r="AZ228" s="21">
        <v>5.96577</v>
      </c>
      <c r="BA228" s="3">
        <v>110.29</v>
      </c>
      <c r="BB228" s="3">
        <v>1</v>
      </c>
    </row>
    <row r="229" spans="1:54" s="3" customFormat="1" ht="299.25" customHeight="1" x14ac:dyDescent="0.25">
      <c r="A229" s="2">
        <v>227</v>
      </c>
      <c r="B229" s="3">
        <v>6</v>
      </c>
      <c r="C229" s="2">
        <v>2</v>
      </c>
      <c r="D229" s="9">
        <v>77</v>
      </c>
      <c r="E229" s="3" t="s">
        <v>16</v>
      </c>
      <c r="F229" s="3">
        <f t="shared" si="30"/>
        <v>1</v>
      </c>
      <c r="G229" s="11"/>
      <c r="H229" s="3" t="s">
        <v>38</v>
      </c>
      <c r="I229" s="3">
        <f t="shared" si="26"/>
        <v>3</v>
      </c>
      <c r="J229" s="3" t="s">
        <v>40</v>
      </c>
      <c r="K229" s="3">
        <v>2</v>
      </c>
      <c r="L229" s="6" t="s">
        <v>231</v>
      </c>
      <c r="M229" s="3">
        <v>75</v>
      </c>
      <c r="N229" s="3">
        <f t="shared" si="27"/>
        <v>0.75</v>
      </c>
      <c r="O229" s="3">
        <v>44</v>
      </c>
      <c r="P229" s="3">
        <v>0.44</v>
      </c>
      <c r="Q229" s="17">
        <v>8.5556722689075632E-2</v>
      </c>
      <c r="R229" s="21">
        <v>0.25549005079651482</v>
      </c>
      <c r="S229" s="3">
        <v>4</v>
      </c>
      <c r="T229" s="3">
        <v>145.88</v>
      </c>
      <c r="U229" s="3">
        <v>290.54000000000002</v>
      </c>
      <c r="V229" s="26">
        <v>-9.5624235771865403E-3</v>
      </c>
      <c r="W229" s="18">
        <v>-0.65239497294188198</v>
      </c>
      <c r="X229" s="18">
        <v>-0.52140126892622596</v>
      </c>
      <c r="Y229" s="18">
        <v>0.87064816560021296</v>
      </c>
      <c r="Z229" s="18">
        <v>-0.71680319766554901</v>
      </c>
      <c r="AA229" s="18">
        <v>-0.61318774680730204</v>
      </c>
      <c r="AB229" s="18">
        <v>-0.23636504333337799</v>
      </c>
      <c r="AC229" s="18">
        <v>0.996989515623252</v>
      </c>
      <c r="AD229" s="18">
        <v>-0.39719533317004302</v>
      </c>
      <c r="AE229" s="21">
        <v>0.65316778924029695</v>
      </c>
      <c r="AF229" s="3">
        <v>1.6427</v>
      </c>
      <c r="AG229" s="3">
        <v>0.11912</v>
      </c>
      <c r="AH229" s="3">
        <v>2.7972999999999999</v>
      </c>
      <c r="AI229" s="3">
        <v>27.403199999999998</v>
      </c>
      <c r="AJ229" s="3">
        <v>6.5768199999999999E-2</v>
      </c>
      <c r="AK229" s="3">
        <v>0.26837899999999998</v>
      </c>
      <c r="AL229" s="3">
        <v>1.2112799999999999</v>
      </c>
      <c r="AM229" s="3">
        <v>0.122868</v>
      </c>
      <c r="AN229" s="3">
        <v>5.15144</v>
      </c>
      <c r="AO229" s="3">
        <v>5.1189200000000001</v>
      </c>
      <c r="AP229" s="3">
        <v>0.15679799999999999</v>
      </c>
      <c r="AQ229" s="3">
        <v>1.6994499999999999</v>
      </c>
      <c r="AR229" s="3">
        <v>0.59734500000000001</v>
      </c>
      <c r="AS229" s="3">
        <v>7.18863E-2</v>
      </c>
      <c r="AT229" s="3">
        <v>2.8776799999999998</v>
      </c>
      <c r="AU229" s="3">
        <v>0.58075200000000005</v>
      </c>
      <c r="AV229" s="3">
        <v>0.65554199999999996</v>
      </c>
      <c r="AW229" s="3">
        <v>8.7366399999999995</v>
      </c>
      <c r="AX229" s="3">
        <v>0.58075200000000005</v>
      </c>
      <c r="AY229" s="3">
        <v>4.3204899999999997E-2</v>
      </c>
      <c r="AZ229" s="21">
        <v>3.3146</v>
      </c>
      <c r="BA229" s="3">
        <v>144.66</v>
      </c>
      <c r="BB229" s="3">
        <v>2</v>
      </c>
    </row>
    <row r="230" spans="1:54" s="3" customFormat="1" ht="409.5" customHeight="1" x14ac:dyDescent="0.25">
      <c r="A230" s="2">
        <v>228</v>
      </c>
      <c r="B230" s="3">
        <v>6</v>
      </c>
      <c r="C230" s="2">
        <v>2</v>
      </c>
      <c r="D230" s="9">
        <v>77</v>
      </c>
      <c r="E230" s="3" t="s">
        <v>16</v>
      </c>
      <c r="F230" s="3">
        <f t="shared" si="30"/>
        <v>1</v>
      </c>
      <c r="G230" s="11"/>
      <c r="H230" s="3" t="s">
        <v>38</v>
      </c>
      <c r="I230" s="3">
        <f t="shared" si="26"/>
        <v>3</v>
      </c>
      <c r="J230" s="3" t="s">
        <v>41</v>
      </c>
      <c r="K230" s="3">
        <v>3</v>
      </c>
      <c r="L230" s="7" t="s">
        <v>232</v>
      </c>
      <c r="M230" s="3">
        <v>75</v>
      </c>
      <c r="N230" s="3">
        <f t="shared" si="27"/>
        <v>0.75</v>
      </c>
      <c r="O230" s="3">
        <v>44</v>
      </c>
      <c r="P230" s="3">
        <v>0.44</v>
      </c>
      <c r="Q230" s="17">
        <v>0.25697530864197532</v>
      </c>
      <c r="R230" s="21">
        <v>0.26516092007279229</v>
      </c>
      <c r="S230" s="3">
        <v>6</v>
      </c>
      <c r="T230" s="3">
        <v>302.88</v>
      </c>
      <c r="U230" s="3">
        <v>521.30999999999995</v>
      </c>
      <c r="V230" s="26">
        <v>1.1867868384356599</v>
      </c>
      <c r="W230" s="18">
        <v>0.100329382531018</v>
      </c>
      <c r="X230" s="18">
        <v>0.76615273248599003</v>
      </c>
      <c r="Y230" s="18">
        <v>1.7804738259127</v>
      </c>
      <c r="Z230" s="18">
        <v>-0.37002499189912702</v>
      </c>
      <c r="AA230" s="18">
        <v>-0.37193742974551303</v>
      </c>
      <c r="AB230" s="18">
        <v>-0.72049516245713696</v>
      </c>
      <c r="AC230" s="18">
        <v>1.0376094168540699</v>
      </c>
      <c r="AD230" s="18">
        <v>7.8441687322984899E-2</v>
      </c>
      <c r="AE230" s="21">
        <v>-0.17062038752167799</v>
      </c>
      <c r="AF230" s="3">
        <v>3.5436299999999998</v>
      </c>
      <c r="AG230" s="3">
        <v>8.7159399999999998E-2</v>
      </c>
      <c r="AH230" s="3">
        <v>2.6299899999999998</v>
      </c>
      <c r="AI230" s="3">
        <v>20.1355</v>
      </c>
      <c r="AJ230" s="3">
        <v>0.294269</v>
      </c>
      <c r="AK230" s="3">
        <v>1.0035799999999999</v>
      </c>
      <c r="AL230" s="3">
        <v>0.142844</v>
      </c>
      <c r="AM230" s="3">
        <v>6.4893099999999995E-2</v>
      </c>
      <c r="AN230" s="3">
        <v>4.8050699999999997</v>
      </c>
      <c r="AO230" s="3">
        <v>10.460599999999999</v>
      </c>
      <c r="AP230" s="3">
        <v>6.5842499999999998E-2</v>
      </c>
      <c r="AQ230" s="3">
        <v>1.30277</v>
      </c>
      <c r="AR230" s="3">
        <v>0.39007399999999998</v>
      </c>
      <c r="AS230" s="3">
        <v>8.2847100000000007E-2</v>
      </c>
      <c r="AT230" s="3">
        <v>3.0516299999999998</v>
      </c>
      <c r="AU230" s="3">
        <v>7.1421999999999999E-2</v>
      </c>
      <c r="AV230" s="3">
        <v>0.13735600000000001</v>
      </c>
      <c r="AW230" s="3">
        <v>5.0603300000000004</v>
      </c>
      <c r="AX230" s="3">
        <v>0.69773799999999997</v>
      </c>
      <c r="AY230" s="3">
        <v>0.73191700000000004</v>
      </c>
      <c r="AZ230" s="21">
        <v>8.2774800000000006</v>
      </c>
      <c r="BA230" s="3">
        <v>218.43</v>
      </c>
      <c r="BB230" s="3">
        <v>3</v>
      </c>
    </row>
    <row r="231" spans="1:54" s="3" customFormat="1" ht="110.25" customHeight="1" x14ac:dyDescent="0.25">
      <c r="A231" s="2">
        <v>229</v>
      </c>
      <c r="B231" s="3">
        <v>6</v>
      </c>
      <c r="C231" s="2">
        <v>2</v>
      </c>
      <c r="D231" s="9">
        <v>77</v>
      </c>
      <c r="E231" s="3" t="s">
        <v>53</v>
      </c>
      <c r="F231" s="3">
        <f>IF(E232="Happy", 1,2)</f>
        <v>2</v>
      </c>
      <c r="G231" s="11" t="s">
        <v>54</v>
      </c>
      <c r="H231" s="3" t="s">
        <v>54</v>
      </c>
      <c r="I231" s="3">
        <f t="shared" si="26"/>
        <v>1</v>
      </c>
      <c r="J231" s="3" t="s">
        <v>55</v>
      </c>
      <c r="K231" s="3">
        <v>1</v>
      </c>
      <c r="L231" s="6" t="s">
        <v>208</v>
      </c>
      <c r="M231" s="3">
        <v>-41</v>
      </c>
      <c r="N231" s="3">
        <f t="shared" si="27"/>
        <v>-0.41</v>
      </c>
      <c r="O231" s="3">
        <v>26</v>
      </c>
      <c r="P231" s="3">
        <v>0.26</v>
      </c>
      <c r="Q231" s="17">
        <v>0.46012345679012351</v>
      </c>
      <c r="R231" s="21">
        <v>0.3824290042626553</v>
      </c>
      <c r="S231" s="3">
        <v>2</v>
      </c>
      <c r="T231" s="3">
        <v>38.43</v>
      </c>
      <c r="U231" s="3">
        <v>92.72</v>
      </c>
      <c r="V231" s="26">
        <v>0.75914096179317003</v>
      </c>
      <c r="W231" s="18">
        <v>-0.104401771382099</v>
      </c>
      <c r="X231" s="18">
        <v>-0.166558051068076</v>
      </c>
      <c r="Y231" s="18">
        <v>0.28259972805385603</v>
      </c>
      <c r="Z231" s="18">
        <v>0.41461076121195301</v>
      </c>
      <c r="AA231" s="18">
        <v>0.80424178881465302</v>
      </c>
      <c r="AB231" s="18">
        <v>0.44813191781867801</v>
      </c>
      <c r="AC231" s="18">
        <v>-0.37232873376311398</v>
      </c>
      <c r="AD231" s="18">
        <v>-0.36724258971004697</v>
      </c>
      <c r="AE231" s="21">
        <v>-1.0774880523410599</v>
      </c>
      <c r="AF231" s="3">
        <v>0</v>
      </c>
      <c r="AG231" s="3">
        <v>0.28670499999999999</v>
      </c>
      <c r="AH231" s="3">
        <v>-0.10603700000000001</v>
      </c>
      <c r="AI231" s="3">
        <v>52.546999999999997</v>
      </c>
      <c r="AJ231" s="3">
        <v>0.270704</v>
      </c>
      <c r="AK231" s="3">
        <v>0.233181</v>
      </c>
      <c r="AL231" s="3">
        <v>0</v>
      </c>
      <c r="AM231" s="3">
        <v>5.5715300000000002E-2</v>
      </c>
      <c r="AN231" s="3">
        <v>-0.40773199999999998</v>
      </c>
      <c r="AO231" s="3">
        <v>0</v>
      </c>
      <c r="AP231" s="3">
        <v>0.191611</v>
      </c>
      <c r="AQ231" s="3">
        <v>-0.79151199999999999</v>
      </c>
      <c r="AR231" s="3">
        <v>0</v>
      </c>
      <c r="AS231" s="3">
        <v>0.14291699999999999</v>
      </c>
      <c r="AT231" s="3">
        <v>-4.9523499999999998E-2</v>
      </c>
      <c r="AU231" s="3">
        <v>0</v>
      </c>
      <c r="AV231" s="3">
        <v>1.40248E-2</v>
      </c>
      <c r="AW231" s="3">
        <v>-0.40897299999999998</v>
      </c>
      <c r="AX231" s="3">
        <v>0</v>
      </c>
      <c r="AY231" s="3">
        <v>0.16949600000000001</v>
      </c>
      <c r="AZ231" s="21">
        <v>-0.22484899999999999</v>
      </c>
      <c r="BA231" s="3">
        <v>54.29</v>
      </c>
      <c r="BB231" s="3">
        <v>1</v>
      </c>
    </row>
    <row r="232" spans="1:54" s="3" customFormat="1" ht="126" customHeight="1" x14ac:dyDescent="0.25">
      <c r="A232" s="2">
        <v>230</v>
      </c>
      <c r="B232" s="3">
        <v>6</v>
      </c>
      <c r="C232" s="2">
        <v>2</v>
      </c>
      <c r="D232" s="9">
        <v>77</v>
      </c>
      <c r="E232" s="3" t="s">
        <v>53</v>
      </c>
      <c r="F232" s="3">
        <f>IF(E233="Happy", 1,2)</f>
        <v>2</v>
      </c>
      <c r="G232" s="11"/>
      <c r="H232" s="3" t="s">
        <v>54</v>
      </c>
      <c r="I232" s="3">
        <f t="shared" si="26"/>
        <v>1</v>
      </c>
      <c r="J232" s="3" t="s">
        <v>56</v>
      </c>
      <c r="K232" s="3">
        <v>2</v>
      </c>
      <c r="L232" s="6" t="s">
        <v>233</v>
      </c>
      <c r="M232" s="3">
        <v>-41</v>
      </c>
      <c r="N232" s="3">
        <f t="shared" si="27"/>
        <v>-0.41</v>
      </c>
      <c r="O232" s="3">
        <v>26</v>
      </c>
      <c r="P232" s="3">
        <v>0.26</v>
      </c>
      <c r="Q232" s="17">
        <v>-9.0404761904761891E-2</v>
      </c>
      <c r="R232" s="21">
        <v>0.26662057956337881</v>
      </c>
      <c r="S232" s="3">
        <v>4</v>
      </c>
      <c r="T232" s="3">
        <v>93.39</v>
      </c>
      <c r="U232" s="3">
        <v>150.88</v>
      </c>
      <c r="V232" s="26">
        <v>0.74464279377045095</v>
      </c>
      <c r="W232" s="18">
        <v>0.36916228529426198</v>
      </c>
      <c r="X232" s="18">
        <v>8.4741095079783404E-2</v>
      </c>
      <c r="Y232" s="18">
        <v>0.17113735907608499</v>
      </c>
      <c r="Z232" s="18">
        <v>0.17334372597740899</v>
      </c>
      <c r="AA232" s="18">
        <v>0.41562288753654902</v>
      </c>
      <c r="AB232" s="18">
        <v>7.5399956485365599E-2</v>
      </c>
      <c r="AC232" s="18">
        <v>0.37700154946861397</v>
      </c>
      <c r="AD232" s="18">
        <v>-0.23723827385488</v>
      </c>
      <c r="AE232" s="21">
        <v>-0.29974392920125897</v>
      </c>
      <c r="AF232" s="3">
        <v>0</v>
      </c>
      <c r="AG232" s="3">
        <v>0.380745</v>
      </c>
      <c r="AH232" s="3">
        <v>-5.2325899999999996E-3</v>
      </c>
      <c r="AI232" s="3">
        <v>46.5715</v>
      </c>
      <c r="AJ232" s="3">
        <v>4.8085599999999999E-2</v>
      </c>
      <c r="AK232" s="3">
        <v>-0.68269800000000003</v>
      </c>
      <c r="AL232" s="3">
        <v>0</v>
      </c>
      <c r="AM232" s="3">
        <v>0</v>
      </c>
      <c r="AN232" s="3">
        <v>-0.46921000000000002</v>
      </c>
      <c r="AO232" s="3">
        <v>0</v>
      </c>
      <c r="AP232" s="3">
        <v>3.9496799999999999E-2</v>
      </c>
      <c r="AQ232" s="3">
        <v>0.43169600000000002</v>
      </c>
      <c r="AR232" s="3">
        <v>0</v>
      </c>
      <c r="AS232" s="3">
        <v>4.9317600000000003E-2</v>
      </c>
      <c r="AT232" s="3">
        <v>-2.3272999999999999E-2</v>
      </c>
      <c r="AU232" s="3">
        <v>0</v>
      </c>
      <c r="AV232" s="3">
        <v>4.1419299999999999E-2</v>
      </c>
      <c r="AW232" s="3">
        <v>-0.19053200000000001</v>
      </c>
      <c r="AX232" s="3">
        <v>0</v>
      </c>
      <c r="AY232" s="3">
        <v>4.83046E-3</v>
      </c>
      <c r="AZ232" s="21">
        <v>-0.59065100000000004</v>
      </c>
      <c r="BA232" s="3">
        <v>57.49</v>
      </c>
      <c r="BB232" s="3">
        <v>2</v>
      </c>
    </row>
    <row r="233" spans="1:54" s="3" customFormat="1" ht="44.25" customHeight="1" x14ac:dyDescent="0.25">
      <c r="A233" s="2">
        <v>231</v>
      </c>
      <c r="B233" s="3">
        <v>6</v>
      </c>
      <c r="C233" s="2">
        <v>2</v>
      </c>
      <c r="D233" s="9">
        <v>77</v>
      </c>
      <c r="E233" s="3" t="s">
        <v>53</v>
      </c>
      <c r="F233" s="3">
        <f t="shared" ref="F233:F240" si="31">IF(E233="Happy", 1,2)</f>
        <v>2</v>
      </c>
      <c r="G233" s="11"/>
      <c r="H233" s="3" t="s">
        <v>54</v>
      </c>
      <c r="I233" s="3">
        <f t="shared" si="26"/>
        <v>1</v>
      </c>
      <c r="J233" s="3" t="s">
        <v>57</v>
      </c>
      <c r="K233" s="3">
        <v>3</v>
      </c>
      <c r="L233" s="6" t="s">
        <v>150</v>
      </c>
      <c r="M233" s="3">
        <v>-41</v>
      </c>
      <c r="N233" s="3">
        <f t="shared" si="27"/>
        <v>-0.41</v>
      </c>
      <c r="O233" s="3">
        <v>26</v>
      </c>
      <c r="P233" s="3">
        <v>0.26</v>
      </c>
      <c r="Q233" s="17">
        <v>2.4999999999999991E-2</v>
      </c>
      <c r="R233" s="21">
        <v>0</v>
      </c>
      <c r="S233" s="3">
        <v>6</v>
      </c>
      <c r="T233" s="3">
        <v>152.27000000000001</v>
      </c>
      <c r="U233" s="3">
        <v>164.93</v>
      </c>
      <c r="V233" s="26">
        <v>0.91083336573380702</v>
      </c>
      <c r="W233" s="18">
        <v>-1.54097850633539</v>
      </c>
      <c r="X233" s="18">
        <v>-1.76173525697388</v>
      </c>
      <c r="Y233" s="18">
        <v>0.117545351365563</v>
      </c>
      <c r="Z233" s="18">
        <v>-1.45324078518026</v>
      </c>
      <c r="AA233" s="18">
        <v>-1.6982546876923501</v>
      </c>
      <c r="AB233" s="18">
        <v>1.65960444339851</v>
      </c>
      <c r="AC233" s="18">
        <v>1.7726871031627101</v>
      </c>
      <c r="AD233" s="18">
        <v>-1.1173157413810499</v>
      </c>
      <c r="AE233" s="21">
        <v>2.0064625826573002</v>
      </c>
      <c r="AF233" s="3">
        <v>0</v>
      </c>
      <c r="AG233" s="3">
        <v>0.44409300000000002</v>
      </c>
      <c r="AH233" s="3">
        <v>0.28216999999999998</v>
      </c>
      <c r="AI233" s="3">
        <v>57.057000000000002</v>
      </c>
      <c r="AJ233" s="3">
        <v>0.27657300000000001</v>
      </c>
      <c r="AK233" s="3">
        <v>0.2379</v>
      </c>
      <c r="AL233" s="3">
        <v>0</v>
      </c>
      <c r="AM233" s="3">
        <v>0</v>
      </c>
      <c r="AN233" s="3">
        <v>-0.46921000000000002</v>
      </c>
      <c r="AO233" s="3">
        <v>0</v>
      </c>
      <c r="AP233" s="3">
        <v>0.107913</v>
      </c>
      <c r="AQ233" s="3">
        <v>-6.9699999999999998E-2</v>
      </c>
      <c r="AR233" s="3">
        <v>0</v>
      </c>
      <c r="AS233" s="3">
        <v>9.4561400000000004E-2</v>
      </c>
      <c r="AT233" s="3">
        <v>-0.45877000000000001</v>
      </c>
      <c r="AU233" s="3">
        <v>0</v>
      </c>
      <c r="AV233" s="3">
        <v>2.6512000000000001E-2</v>
      </c>
      <c r="AW233" s="3">
        <v>-0.35886899999999999</v>
      </c>
      <c r="AX233" s="3">
        <v>0</v>
      </c>
      <c r="AY233" s="3">
        <v>9.7243599999999999E-2</v>
      </c>
      <c r="AZ233" s="21">
        <v>-0.385075</v>
      </c>
      <c r="BA233" s="3">
        <v>12.66</v>
      </c>
      <c r="BB233" s="3">
        <v>3</v>
      </c>
    </row>
    <row r="234" spans="1:54" s="3" customFormat="1" ht="94.5" customHeight="1" x14ac:dyDescent="0.25">
      <c r="A234" s="2">
        <v>232</v>
      </c>
      <c r="B234" s="3">
        <v>6</v>
      </c>
      <c r="C234" s="2">
        <v>2</v>
      </c>
      <c r="D234" s="9">
        <v>77</v>
      </c>
      <c r="E234" s="3" t="s">
        <v>53</v>
      </c>
      <c r="F234" s="3">
        <f t="shared" si="31"/>
        <v>2</v>
      </c>
      <c r="G234" s="11"/>
      <c r="H234" s="3" t="s">
        <v>54</v>
      </c>
      <c r="I234" s="3">
        <f t="shared" si="26"/>
        <v>1</v>
      </c>
      <c r="J234" s="3" t="s">
        <v>58</v>
      </c>
      <c r="K234" s="3">
        <v>4</v>
      </c>
      <c r="L234" s="6" t="s">
        <v>224</v>
      </c>
      <c r="M234" s="3">
        <v>-41</v>
      </c>
      <c r="N234" s="3">
        <f t="shared" si="27"/>
        <v>-0.41</v>
      </c>
      <c r="O234" s="3">
        <v>26</v>
      </c>
      <c r="P234" s="3">
        <v>0.26</v>
      </c>
      <c r="Q234" s="17">
        <v>-0.31208333333333332</v>
      </c>
      <c r="R234" s="21">
        <v>0.1774126023750327</v>
      </c>
      <c r="S234" s="3">
        <v>8</v>
      </c>
      <c r="T234" s="3">
        <v>176.26</v>
      </c>
      <c r="U234" s="3">
        <v>224.92</v>
      </c>
      <c r="V234" s="26">
        <v>0.64305545755599702</v>
      </c>
      <c r="W234" s="18">
        <v>-0.61062876828794199</v>
      </c>
      <c r="X234" s="18">
        <v>0.10878567551041</v>
      </c>
      <c r="Y234" s="18">
        <v>1.5527640872687201</v>
      </c>
      <c r="Z234" s="18">
        <v>0.609682133432211</v>
      </c>
      <c r="AA234" s="18">
        <v>0.96470234292717805</v>
      </c>
      <c r="AB234" s="18">
        <v>0.71101096692988597</v>
      </c>
      <c r="AC234" s="18">
        <v>0.66632926700744499</v>
      </c>
      <c r="AD234" s="18">
        <v>-0.127777462676465</v>
      </c>
      <c r="AE234" s="21">
        <v>-6.2516957278308694E-2</v>
      </c>
      <c r="AF234" s="3">
        <v>0</v>
      </c>
      <c r="AG234" s="3">
        <v>0.27868399999999999</v>
      </c>
      <c r="AH234" s="3">
        <v>-0.240121</v>
      </c>
      <c r="AI234" s="3">
        <v>43.822400000000002</v>
      </c>
      <c r="AJ234" s="3">
        <v>0.148226</v>
      </c>
      <c r="AK234" s="3">
        <v>-9.2387200000000003E-2</v>
      </c>
      <c r="AL234" s="3">
        <v>0</v>
      </c>
      <c r="AM234" s="3">
        <v>0</v>
      </c>
      <c r="AN234" s="3">
        <v>-0.46921000000000002</v>
      </c>
      <c r="AO234" s="3">
        <v>0.69050599999999995</v>
      </c>
      <c r="AP234" s="3">
        <v>2.8284299999999998E-2</v>
      </c>
      <c r="AQ234" s="3">
        <v>1.5436399999999999</v>
      </c>
      <c r="AR234" s="3">
        <v>0</v>
      </c>
      <c r="AS234" s="3">
        <v>2.9113900000000002E-2</v>
      </c>
      <c r="AT234" s="3">
        <v>0.14099</v>
      </c>
      <c r="AU234" s="3">
        <v>0</v>
      </c>
      <c r="AV234" s="3">
        <v>2.9277000000000001E-2</v>
      </c>
      <c r="AW234" s="3">
        <v>-0.25262899999999999</v>
      </c>
      <c r="AX234" s="3">
        <v>0.19728699999999999</v>
      </c>
      <c r="AY234" s="3">
        <v>0.203711</v>
      </c>
      <c r="AZ234" s="21">
        <v>6.3078500000000002</v>
      </c>
      <c r="BA234" s="3">
        <v>48.66</v>
      </c>
      <c r="BB234" s="3">
        <v>4</v>
      </c>
    </row>
    <row r="235" spans="1:54" s="3" customFormat="1" ht="236.25" customHeight="1" x14ac:dyDescent="0.25">
      <c r="A235" s="2">
        <v>233</v>
      </c>
      <c r="B235" s="3">
        <v>6</v>
      </c>
      <c r="C235" s="2">
        <v>2</v>
      </c>
      <c r="D235" s="9">
        <v>77</v>
      </c>
      <c r="E235" s="3" t="s">
        <v>53</v>
      </c>
      <c r="F235" s="3">
        <f t="shared" si="31"/>
        <v>2</v>
      </c>
      <c r="G235" s="11"/>
      <c r="H235" s="3" t="s">
        <v>54</v>
      </c>
      <c r="I235" s="3">
        <f t="shared" si="26"/>
        <v>1</v>
      </c>
      <c r="J235" s="3" t="s">
        <v>59</v>
      </c>
      <c r="K235" s="3">
        <v>5</v>
      </c>
      <c r="L235" s="6" t="s">
        <v>234</v>
      </c>
      <c r="M235" s="3">
        <v>-41</v>
      </c>
      <c r="N235" s="3">
        <f t="shared" si="27"/>
        <v>-0.41</v>
      </c>
      <c r="O235" s="3">
        <v>26</v>
      </c>
      <c r="P235" s="3">
        <v>0.26</v>
      </c>
      <c r="Q235" s="17">
        <v>-1.136111111111111E-2</v>
      </c>
      <c r="R235" s="21">
        <v>1.687378253495752E-2</v>
      </c>
      <c r="S235" s="3">
        <v>9</v>
      </c>
      <c r="T235" s="3">
        <v>224.92</v>
      </c>
      <c r="U235" s="3">
        <v>335.79</v>
      </c>
      <c r="V235" s="26">
        <v>0.68059043832638599</v>
      </c>
      <c r="W235" s="18">
        <v>0.18450300363400399</v>
      </c>
      <c r="X235" s="18">
        <v>1.97005953874192</v>
      </c>
      <c r="Y235" s="18">
        <v>-0.410549842260932</v>
      </c>
      <c r="Z235" s="18">
        <v>-0.49956619341601399</v>
      </c>
      <c r="AA235" s="18">
        <v>-0.43798473941421601</v>
      </c>
      <c r="AB235" s="18">
        <v>0.35387193814983903</v>
      </c>
      <c r="AC235" s="18">
        <v>0.48603391593029099</v>
      </c>
      <c r="AD235" s="18">
        <v>-0.574716304880596</v>
      </c>
      <c r="AE235" s="21">
        <v>-2.8484395905395799E-2</v>
      </c>
      <c r="AF235" s="3">
        <v>0.32479200000000003</v>
      </c>
      <c r="AG235" s="3">
        <v>0.26796799999999998</v>
      </c>
      <c r="AH235" s="3">
        <v>4.59762</v>
      </c>
      <c r="AI235" s="3">
        <v>46.759300000000003</v>
      </c>
      <c r="AJ235" s="3">
        <v>0.33158500000000002</v>
      </c>
      <c r="AK235" s="3">
        <v>6.8515499999999993E-2</v>
      </c>
      <c r="AL235" s="3">
        <v>0.29231299999999999</v>
      </c>
      <c r="AM235" s="3">
        <v>0.30192600000000003</v>
      </c>
      <c r="AN235" s="3">
        <v>8.7173200000000008</v>
      </c>
      <c r="AO235" s="3">
        <v>1.8080099999999999</v>
      </c>
      <c r="AP235" s="3">
        <v>5.7280400000000002E-2</v>
      </c>
      <c r="AQ235" s="3">
        <v>1.7550600000000001</v>
      </c>
      <c r="AR235" s="3">
        <v>0</v>
      </c>
      <c r="AS235" s="3">
        <v>0.130694</v>
      </c>
      <c r="AT235" s="3">
        <v>-0.52491299999999996</v>
      </c>
      <c r="AU235" s="3">
        <v>0</v>
      </c>
      <c r="AV235" s="3">
        <v>0</v>
      </c>
      <c r="AW235" s="3">
        <v>-0.43573499999999998</v>
      </c>
      <c r="AX235" s="3">
        <v>0</v>
      </c>
      <c r="AY235" s="3">
        <v>6.2830800000000006E-2</v>
      </c>
      <c r="AZ235" s="21">
        <v>-0.48374899999999998</v>
      </c>
      <c r="BA235" s="3">
        <v>110.87</v>
      </c>
      <c r="BB235" s="3">
        <v>5</v>
      </c>
    </row>
    <row r="236" spans="1:54" s="3" customFormat="1" ht="173.25" customHeight="1" x14ac:dyDescent="0.25">
      <c r="A236" s="2">
        <v>234</v>
      </c>
      <c r="B236" s="3">
        <v>6</v>
      </c>
      <c r="C236" s="2">
        <v>2</v>
      </c>
      <c r="D236" s="9">
        <v>77</v>
      </c>
      <c r="E236" s="3" t="s">
        <v>53</v>
      </c>
      <c r="F236" s="3">
        <f t="shared" si="31"/>
        <v>2</v>
      </c>
      <c r="G236" s="11"/>
      <c r="H236" s="3" t="s">
        <v>54</v>
      </c>
      <c r="I236" s="3">
        <f t="shared" si="26"/>
        <v>1</v>
      </c>
      <c r="J236" s="3" t="s">
        <v>60</v>
      </c>
      <c r="K236" s="3">
        <v>6</v>
      </c>
      <c r="L236" s="6" t="s">
        <v>235</v>
      </c>
      <c r="M236" s="3">
        <v>-41</v>
      </c>
      <c r="N236" s="3">
        <f t="shared" si="27"/>
        <v>-0.41</v>
      </c>
      <c r="O236" s="3">
        <v>26</v>
      </c>
      <c r="P236" s="3">
        <v>0.26</v>
      </c>
      <c r="Q236" s="17">
        <v>0.27491071428571429</v>
      </c>
      <c r="R236" s="21">
        <v>0.21466368024979501</v>
      </c>
      <c r="S236" s="3">
        <v>11</v>
      </c>
      <c r="T236" s="3">
        <v>336.66</v>
      </c>
      <c r="U236" s="3">
        <v>426.47</v>
      </c>
      <c r="V236" s="26">
        <v>0.57980438255532896</v>
      </c>
      <c r="W236" s="18">
        <v>1.2612530529004</v>
      </c>
      <c r="X236" s="18">
        <v>-0.205570671615777</v>
      </c>
      <c r="Y236" s="18">
        <v>-0.163137159605733</v>
      </c>
      <c r="Z236" s="18">
        <v>-0.79006717144455496</v>
      </c>
      <c r="AA236" s="18">
        <v>-0.72340646772838801</v>
      </c>
      <c r="AB236" s="18">
        <v>0.49172657309522499</v>
      </c>
      <c r="AC236" s="18">
        <v>0.65100772531511697</v>
      </c>
      <c r="AD236" s="18">
        <v>-0.68841127351147102</v>
      </c>
      <c r="AE236" s="21">
        <v>0.60612277793068203</v>
      </c>
      <c r="AF236" s="3">
        <v>0.120267</v>
      </c>
      <c r="AG236" s="3">
        <v>2.81859E-2</v>
      </c>
      <c r="AH236" s="3">
        <v>3.1985800000000002</v>
      </c>
      <c r="AI236" s="3">
        <v>52.543399999999998</v>
      </c>
      <c r="AJ236" s="3">
        <v>0.197218</v>
      </c>
      <c r="AK236" s="3">
        <v>6.6307000000000005E-2</v>
      </c>
      <c r="AL236" s="3">
        <v>0</v>
      </c>
      <c r="AM236" s="3">
        <v>0</v>
      </c>
      <c r="AN236" s="3">
        <v>-0.46921000000000002</v>
      </c>
      <c r="AO236" s="3">
        <v>0.52115800000000001</v>
      </c>
      <c r="AP236" s="3">
        <v>2.9840800000000001E-2</v>
      </c>
      <c r="AQ236" s="3">
        <v>1.5946100000000001</v>
      </c>
      <c r="AR236" s="3">
        <v>0</v>
      </c>
      <c r="AS236" s="3">
        <v>6.9006600000000003E-3</v>
      </c>
      <c r="AT236" s="3">
        <v>-0.83026299999999997</v>
      </c>
      <c r="AU236" s="3">
        <v>0</v>
      </c>
      <c r="AV236" s="3">
        <v>0</v>
      </c>
      <c r="AW236" s="3">
        <v>-0.43573499999999998</v>
      </c>
      <c r="AX236" s="3">
        <v>0</v>
      </c>
      <c r="AY236" s="3">
        <v>9.7443500000000002E-2</v>
      </c>
      <c r="AZ236" s="21">
        <v>0.44358199999999998</v>
      </c>
      <c r="BA236" s="3">
        <v>89.81</v>
      </c>
      <c r="BB236" s="3">
        <v>6</v>
      </c>
    </row>
    <row r="237" spans="1:54" s="3" customFormat="1" ht="78.75" customHeight="1" x14ac:dyDescent="0.25">
      <c r="A237" s="2">
        <v>235</v>
      </c>
      <c r="B237" s="3">
        <v>6</v>
      </c>
      <c r="C237" s="2">
        <v>2</v>
      </c>
      <c r="D237" s="9">
        <v>77</v>
      </c>
      <c r="E237" s="3" t="s">
        <v>53</v>
      </c>
      <c r="F237" s="3">
        <f t="shared" si="31"/>
        <v>2</v>
      </c>
      <c r="G237" s="11"/>
      <c r="H237" s="3" t="s">
        <v>54</v>
      </c>
      <c r="I237" s="3">
        <f t="shared" si="26"/>
        <v>1</v>
      </c>
      <c r="J237" s="3" t="s">
        <v>61</v>
      </c>
      <c r="K237" s="3">
        <v>7</v>
      </c>
      <c r="L237" s="6" t="s">
        <v>156</v>
      </c>
      <c r="M237" s="3">
        <v>-41</v>
      </c>
      <c r="N237" s="3">
        <f t="shared" si="27"/>
        <v>-0.41</v>
      </c>
      <c r="O237" s="3">
        <v>26</v>
      </c>
      <c r="P237" s="3">
        <v>0.26</v>
      </c>
      <c r="Q237" s="17">
        <v>-0.23966666666666669</v>
      </c>
      <c r="R237" s="21">
        <v>0.22998913017792821</v>
      </c>
      <c r="S237" s="3">
        <v>13</v>
      </c>
      <c r="T237" s="3">
        <v>443.16</v>
      </c>
      <c r="U237" s="3">
        <v>476.68</v>
      </c>
      <c r="V237" s="26">
        <v>1.4079652808271399</v>
      </c>
      <c r="W237" s="18">
        <v>-0.129768498609695</v>
      </c>
      <c r="X237" s="18">
        <v>0.88096271605212995</v>
      </c>
      <c r="Y237" s="18">
        <v>-6.5354263184323497E-2</v>
      </c>
      <c r="Z237" s="18">
        <v>0.297775093319324</v>
      </c>
      <c r="AA237" s="18">
        <v>0.49174094327925899</v>
      </c>
      <c r="AB237" s="18">
        <v>-0.47789160822750298</v>
      </c>
      <c r="AC237" s="18">
        <v>0.196349883468383</v>
      </c>
      <c r="AD237" s="18">
        <v>-0.56562070739012604</v>
      </c>
      <c r="AE237" s="21">
        <v>-4.9504507341606503E-2</v>
      </c>
      <c r="AF237" s="3">
        <v>0</v>
      </c>
      <c r="AG237" s="3">
        <v>0.240069</v>
      </c>
      <c r="AH237" s="3">
        <v>-0.26058399999999998</v>
      </c>
      <c r="AI237" s="3">
        <v>43.235799999999998</v>
      </c>
      <c r="AJ237" s="3">
        <v>0.27000600000000002</v>
      </c>
      <c r="AK237" s="3">
        <v>0.21249100000000001</v>
      </c>
      <c r="AL237" s="3">
        <v>0</v>
      </c>
      <c r="AM237" s="3">
        <v>1.2318000000000001E-2</v>
      </c>
      <c r="AN237" s="3">
        <v>-0.45998699999999998</v>
      </c>
      <c r="AO237" s="3">
        <v>0</v>
      </c>
      <c r="AP237" s="3">
        <v>0.245836</v>
      </c>
      <c r="AQ237" s="3">
        <v>-0.50798399999999999</v>
      </c>
      <c r="AR237" s="3">
        <v>0</v>
      </c>
      <c r="AS237" s="3">
        <v>8.6355600000000005E-2</v>
      </c>
      <c r="AT237" s="3">
        <v>-0.70025099999999996</v>
      </c>
      <c r="AU237" s="3">
        <v>0</v>
      </c>
      <c r="AV237" s="3">
        <v>0.111156</v>
      </c>
      <c r="AW237" s="3">
        <v>-0.30215399999999998</v>
      </c>
      <c r="AX237" s="3">
        <v>0</v>
      </c>
      <c r="AY237" s="3">
        <v>0.19035299999999999</v>
      </c>
      <c r="AZ237" s="21">
        <v>-0.19889299999999999</v>
      </c>
      <c r="BA237" s="3">
        <v>33.520000000000003</v>
      </c>
      <c r="BB237" s="3">
        <v>7</v>
      </c>
    </row>
    <row r="238" spans="1:54" s="3" customFormat="1" ht="220.5" customHeight="1" x14ac:dyDescent="0.25">
      <c r="A238" s="2">
        <v>236</v>
      </c>
      <c r="B238" s="3">
        <v>6</v>
      </c>
      <c r="C238" s="2">
        <v>2</v>
      </c>
      <c r="D238" s="9">
        <v>77</v>
      </c>
      <c r="E238" s="3" t="s">
        <v>53</v>
      </c>
      <c r="F238" s="3">
        <f t="shared" si="31"/>
        <v>2</v>
      </c>
      <c r="G238" s="11"/>
      <c r="H238" s="3" t="s">
        <v>54</v>
      </c>
      <c r="I238" s="3">
        <f t="shared" si="26"/>
        <v>1</v>
      </c>
      <c r="J238" s="3" t="s">
        <v>62</v>
      </c>
      <c r="K238" s="3">
        <v>8</v>
      </c>
      <c r="L238" s="6" t="s">
        <v>229</v>
      </c>
      <c r="M238" s="3">
        <v>-41</v>
      </c>
      <c r="N238" s="3">
        <f t="shared" si="27"/>
        <v>-0.41</v>
      </c>
      <c r="O238" s="3">
        <v>26</v>
      </c>
      <c r="P238" s="3">
        <v>0.26</v>
      </c>
      <c r="Q238" s="17">
        <v>-0.1400851712390174</v>
      </c>
      <c r="R238" s="21">
        <v>0.28802730057400983</v>
      </c>
      <c r="S238" s="3">
        <v>15</v>
      </c>
      <c r="T238" s="3">
        <v>488.45</v>
      </c>
      <c r="U238" s="3">
        <v>590.21</v>
      </c>
      <c r="V238" s="26">
        <v>0.57469621972867202</v>
      </c>
      <c r="W238" s="18">
        <v>7.2825282653068396E-2</v>
      </c>
      <c r="X238" s="18">
        <v>0.13217564485175601</v>
      </c>
      <c r="Y238" s="18">
        <v>0.31609473287293299</v>
      </c>
      <c r="Z238" s="18">
        <v>0.52896056383027101</v>
      </c>
      <c r="AA238" s="18">
        <v>0.62789183534091497</v>
      </c>
      <c r="AB238" s="18">
        <v>0.132948647500269</v>
      </c>
      <c r="AC238" s="18">
        <v>3.3157648698942603E-2</v>
      </c>
      <c r="AD238" s="18">
        <v>-0.28883226651633997</v>
      </c>
      <c r="AE238" s="21">
        <v>-0.67109923124098303</v>
      </c>
      <c r="AF238" s="3">
        <v>0</v>
      </c>
      <c r="AG238" s="3">
        <v>0.16750999999999999</v>
      </c>
      <c r="AH238" s="3">
        <v>-0.53094699999999995</v>
      </c>
      <c r="AI238" s="3">
        <v>47.698099999999997</v>
      </c>
      <c r="AJ238" s="3">
        <v>0.301622</v>
      </c>
      <c r="AK238" s="3">
        <v>0.16646</v>
      </c>
      <c r="AL238" s="3">
        <v>0</v>
      </c>
      <c r="AM238" s="3">
        <v>8.4507799999999994E-2</v>
      </c>
      <c r="AN238" s="3">
        <v>-0.32337100000000002</v>
      </c>
      <c r="AO238" s="3">
        <v>5.1189299999999998</v>
      </c>
      <c r="AP238" s="3">
        <v>7.5295699999999993E-2</v>
      </c>
      <c r="AQ238" s="3">
        <v>2.0556700000000001</v>
      </c>
      <c r="AR238" s="3">
        <v>0.74307100000000004</v>
      </c>
      <c r="AS238" s="3">
        <v>0.13824800000000001</v>
      </c>
      <c r="AT238" s="3">
        <v>5.0082000000000004</v>
      </c>
      <c r="AU238" s="3">
        <v>0</v>
      </c>
      <c r="AV238" s="3">
        <v>8.15332E-2</v>
      </c>
      <c r="AW238" s="3">
        <v>0.146314</v>
      </c>
      <c r="AX238" s="3">
        <v>0</v>
      </c>
      <c r="AY238" s="3">
        <v>0</v>
      </c>
      <c r="AZ238" s="21">
        <v>-0.60162499999999997</v>
      </c>
      <c r="BA238" s="3">
        <v>101.76300000000001</v>
      </c>
      <c r="BB238" s="3">
        <v>8</v>
      </c>
    </row>
    <row r="239" spans="1:54" s="3" customFormat="1" ht="94.5" customHeight="1" x14ac:dyDescent="0.25">
      <c r="A239" s="2">
        <v>237</v>
      </c>
      <c r="B239" s="3">
        <v>6</v>
      </c>
      <c r="C239" s="2">
        <v>2</v>
      </c>
      <c r="D239" s="9">
        <v>77</v>
      </c>
      <c r="E239" s="3" t="s">
        <v>53</v>
      </c>
      <c r="F239" s="3">
        <f t="shared" si="31"/>
        <v>2</v>
      </c>
      <c r="G239" s="11"/>
      <c r="H239" s="3" t="s">
        <v>54</v>
      </c>
      <c r="I239" s="3">
        <f t="shared" si="26"/>
        <v>1</v>
      </c>
      <c r="J239" s="3" t="s">
        <v>63</v>
      </c>
      <c r="K239" s="3">
        <v>9</v>
      </c>
      <c r="L239" s="6" t="s">
        <v>162</v>
      </c>
      <c r="M239" s="3">
        <v>-41</v>
      </c>
      <c r="N239" s="3">
        <f t="shared" si="27"/>
        <v>-0.41</v>
      </c>
      <c r="O239" s="3">
        <v>26</v>
      </c>
      <c r="P239" s="3">
        <v>0.26</v>
      </c>
      <c r="Q239" s="17">
        <v>0.14303571428571429</v>
      </c>
      <c r="R239" s="21">
        <v>0.21204263338540169</v>
      </c>
      <c r="S239" s="3">
        <v>17</v>
      </c>
      <c r="T239" s="3">
        <v>599.63</v>
      </c>
      <c r="U239" s="3">
        <v>640.01</v>
      </c>
      <c r="V239" s="26">
        <v>1.3098710265456199</v>
      </c>
      <c r="W239" s="18">
        <v>1.66585769561219</v>
      </c>
      <c r="X239" s="18">
        <v>1.9884271557764399</v>
      </c>
      <c r="Y239" s="18">
        <v>8.4613287803947404E-2</v>
      </c>
      <c r="Z239" s="18">
        <v>0.84770373344751404</v>
      </c>
      <c r="AA239" s="18">
        <v>0.646326895515279</v>
      </c>
      <c r="AB239" s="18">
        <v>1.1263542454508</v>
      </c>
      <c r="AC239" s="18">
        <v>-0.30249100883994701</v>
      </c>
      <c r="AD239" s="18">
        <v>-0.496776443626051</v>
      </c>
      <c r="AE239" s="21">
        <v>-0.50594121281361204</v>
      </c>
      <c r="AF239" s="3">
        <v>0</v>
      </c>
      <c r="AG239" s="3">
        <v>0.25729099999999999</v>
      </c>
      <c r="AH239" s="3">
        <v>-0.34660999999999997</v>
      </c>
      <c r="AI239" s="3">
        <v>46.7988</v>
      </c>
      <c r="AJ239" s="3">
        <v>0.24524499999999999</v>
      </c>
      <c r="AK239" s="3">
        <v>-8.9822299999999994E-2</v>
      </c>
      <c r="AL239" s="3">
        <v>0</v>
      </c>
      <c r="AM239" s="3">
        <v>1.96013E-3</v>
      </c>
      <c r="AN239" s="3">
        <v>-0.46744200000000002</v>
      </c>
      <c r="AO239" s="3">
        <v>2.8543099999999999</v>
      </c>
      <c r="AP239" s="3">
        <v>5.5656400000000002E-2</v>
      </c>
      <c r="AQ239" s="3">
        <v>1.7473000000000001</v>
      </c>
      <c r="AR239" s="3">
        <v>0</v>
      </c>
      <c r="AS239" s="3">
        <v>6.0741000000000003E-2</v>
      </c>
      <c r="AT239" s="3">
        <v>-0.16112799999999999</v>
      </c>
      <c r="AU239" s="3">
        <v>0</v>
      </c>
      <c r="AV239" s="3">
        <v>0.15512000000000001</v>
      </c>
      <c r="AW239" s="3">
        <v>1.40886</v>
      </c>
      <c r="AX239" s="3">
        <v>0</v>
      </c>
      <c r="AY239" s="3">
        <v>0.100651</v>
      </c>
      <c r="AZ239" s="21">
        <v>-0.25775199999999998</v>
      </c>
      <c r="BA239" s="3">
        <v>40.384999999999998</v>
      </c>
      <c r="BB239" s="3">
        <v>9</v>
      </c>
    </row>
    <row r="240" spans="1:54" s="3" customFormat="1" ht="78.75" customHeight="1" x14ac:dyDescent="0.25">
      <c r="A240" s="2">
        <v>238</v>
      </c>
      <c r="B240" s="3">
        <v>6</v>
      </c>
      <c r="C240" s="2">
        <v>2</v>
      </c>
      <c r="D240" s="9">
        <v>77</v>
      </c>
      <c r="E240" s="3" t="s">
        <v>53</v>
      </c>
      <c r="F240" s="3">
        <f t="shared" si="31"/>
        <v>2</v>
      </c>
      <c r="G240" s="11"/>
      <c r="H240" s="3" t="s">
        <v>54</v>
      </c>
      <c r="I240" s="3">
        <f t="shared" si="26"/>
        <v>1</v>
      </c>
      <c r="J240" s="3" t="s">
        <v>64</v>
      </c>
      <c r="K240" s="3">
        <v>10</v>
      </c>
      <c r="L240" s="6" t="s">
        <v>236</v>
      </c>
      <c r="M240" s="3">
        <v>-41</v>
      </c>
      <c r="N240" s="3">
        <f t="shared" si="27"/>
        <v>-0.41</v>
      </c>
      <c r="O240" s="3">
        <v>26</v>
      </c>
      <c r="P240" s="3">
        <v>0.26</v>
      </c>
      <c r="Q240" s="17">
        <v>5.177777777777777E-2</v>
      </c>
      <c r="R240" s="21">
        <v>0.2416706257657821</v>
      </c>
      <c r="S240" s="3">
        <v>19</v>
      </c>
      <c r="T240" s="3">
        <v>643.05999999999995</v>
      </c>
      <c r="U240" s="3">
        <v>927.16</v>
      </c>
      <c r="V240" s="26">
        <v>0.67269031395476797</v>
      </c>
      <c r="W240" s="18">
        <v>1.0304265219925199</v>
      </c>
      <c r="X240" s="18">
        <v>1.5659554611820501</v>
      </c>
      <c r="Y240" s="18">
        <v>-1.6246452522324299</v>
      </c>
      <c r="Z240" s="18">
        <v>-0.32023863459972801</v>
      </c>
      <c r="AA240" s="18">
        <v>-0.38363068490922297</v>
      </c>
      <c r="AB240" s="18">
        <v>0.54655937795971199</v>
      </c>
      <c r="AC240" s="18">
        <v>-1.0728438725332401</v>
      </c>
      <c r="AD240" s="18">
        <v>3.0922208695963098</v>
      </c>
      <c r="AE240" s="21">
        <v>-0.51695174737543703</v>
      </c>
      <c r="AF240" s="3">
        <v>0.70970900000000003</v>
      </c>
      <c r="AG240" s="3">
        <v>1.1179699999999999</v>
      </c>
      <c r="AH240" s="3">
        <v>6.2545700000000002</v>
      </c>
      <c r="AI240" s="3">
        <v>47.673000000000002</v>
      </c>
      <c r="AJ240" s="3">
        <v>0.20990800000000001</v>
      </c>
      <c r="AK240" s="3">
        <v>0.89011200000000001</v>
      </c>
      <c r="AL240" s="3">
        <v>0.46469100000000002</v>
      </c>
      <c r="AM240" s="3">
        <v>0.126725</v>
      </c>
      <c r="AN240" s="3">
        <v>7.6234599999999997</v>
      </c>
      <c r="AO240" s="3">
        <v>6.4380800000000002</v>
      </c>
      <c r="AP240" s="3">
        <v>0.69356899999999999</v>
      </c>
      <c r="AQ240" s="3">
        <v>5.7866900000000001</v>
      </c>
      <c r="AR240" s="3">
        <v>1.1913</v>
      </c>
      <c r="AS240" s="3">
        <v>7.0166699999999999E-2</v>
      </c>
      <c r="AT240" s="3">
        <v>4.4125100000000002</v>
      </c>
      <c r="AU240" s="3">
        <v>0.16475400000000001</v>
      </c>
      <c r="AV240" s="3">
        <v>0.183675</v>
      </c>
      <c r="AW240" s="3">
        <v>9.9204000000000008</v>
      </c>
      <c r="AX240" s="3">
        <v>0.49848599999999998</v>
      </c>
      <c r="AY240" s="3">
        <v>1.11314</v>
      </c>
      <c r="AZ240" s="21">
        <v>13.7386</v>
      </c>
      <c r="BA240" s="3">
        <v>284.09699999999998</v>
      </c>
      <c r="BB240" s="3">
        <v>10</v>
      </c>
    </row>
    <row r="241" spans="1:54" s="3" customFormat="1" ht="78.75" customHeight="1" x14ac:dyDescent="0.25">
      <c r="A241" s="2">
        <v>239</v>
      </c>
      <c r="B241" s="3">
        <v>6</v>
      </c>
      <c r="C241" s="2">
        <v>2</v>
      </c>
      <c r="D241" s="9">
        <v>77</v>
      </c>
      <c r="E241" s="3" t="s">
        <v>53</v>
      </c>
      <c r="F241" s="3">
        <f>IF(E242="Happy", 1,2)</f>
        <v>2</v>
      </c>
      <c r="G241" s="11" t="s">
        <v>76</v>
      </c>
      <c r="H241" s="3" t="s">
        <v>76</v>
      </c>
      <c r="I241" s="3">
        <f t="shared" si="26"/>
        <v>2</v>
      </c>
      <c r="J241" s="3" t="s">
        <v>77</v>
      </c>
      <c r="K241" s="3">
        <v>1</v>
      </c>
      <c r="L241" s="6" t="s">
        <v>215</v>
      </c>
      <c r="M241" s="3">
        <v>-61</v>
      </c>
      <c r="N241" s="3">
        <f t="shared" si="27"/>
        <v>-0.61</v>
      </c>
      <c r="O241" s="3">
        <v>44</v>
      </c>
      <c r="P241" s="3">
        <v>0.44</v>
      </c>
      <c r="Q241" s="17">
        <v>-5.6249999999999988E-2</v>
      </c>
      <c r="R241" s="21">
        <v>0.31077699604353159</v>
      </c>
      <c r="S241" s="3">
        <v>2</v>
      </c>
      <c r="T241" s="3">
        <v>44.11</v>
      </c>
      <c r="U241" s="3">
        <v>99.44</v>
      </c>
      <c r="V241" s="26">
        <v>-4.5469803446924598E-2</v>
      </c>
      <c r="W241" s="18">
        <v>-0.50538259591852197</v>
      </c>
      <c r="X241" s="18">
        <v>-0.77205130491832896</v>
      </c>
      <c r="Y241" s="18">
        <v>-0.63291163895901004</v>
      </c>
      <c r="Z241" s="18">
        <v>-0.79158631133441204</v>
      </c>
      <c r="AA241" s="18">
        <v>-0.765479806882021</v>
      </c>
      <c r="AB241" s="18">
        <v>0.29983516888116502</v>
      </c>
      <c r="AC241" s="18">
        <v>0.32783009008393499</v>
      </c>
      <c r="AD241" s="18">
        <v>0.10541483850162001</v>
      </c>
      <c r="AE241" s="21">
        <v>0.88138614197629905</v>
      </c>
      <c r="AF241" s="3">
        <v>0</v>
      </c>
      <c r="AG241" s="3">
        <v>0.197689</v>
      </c>
      <c r="AH241" s="3">
        <v>-0.44479400000000002</v>
      </c>
      <c r="AI241" s="3">
        <v>57.2224</v>
      </c>
      <c r="AJ241" s="3">
        <v>0.298842</v>
      </c>
      <c r="AK241" s="3">
        <v>8.6707199999999998E-3</v>
      </c>
      <c r="AL241" s="3">
        <v>0</v>
      </c>
      <c r="AM241" s="3">
        <v>0.142932</v>
      </c>
      <c r="AN241" s="3">
        <v>-0.23430699999999999</v>
      </c>
      <c r="AO241" s="3">
        <v>7.7902399999999998</v>
      </c>
      <c r="AP241" s="3">
        <v>8.1869200000000003E-2</v>
      </c>
      <c r="AQ241" s="3">
        <v>1.3595699999999999</v>
      </c>
      <c r="AR241" s="3">
        <v>0.99819199999999997</v>
      </c>
      <c r="AS241" s="3">
        <v>3.4490800000000002E-2</v>
      </c>
      <c r="AT241" s="3">
        <v>2.9443100000000002</v>
      </c>
      <c r="AU241" s="3">
        <v>0</v>
      </c>
      <c r="AV241" s="3">
        <v>0.221777</v>
      </c>
      <c r="AW241" s="3">
        <v>0.31699899999999998</v>
      </c>
      <c r="AX241" s="3">
        <v>0</v>
      </c>
      <c r="AY241" s="3">
        <v>2.4963699999999999E-3</v>
      </c>
      <c r="AZ241" s="21">
        <v>-0.54822899999999997</v>
      </c>
      <c r="BA241" s="3">
        <v>55.326000000000001</v>
      </c>
      <c r="BB241" s="3">
        <v>1</v>
      </c>
    </row>
    <row r="242" spans="1:54" s="3" customFormat="1" ht="63" customHeight="1" x14ac:dyDescent="0.25">
      <c r="A242" s="2">
        <v>240</v>
      </c>
      <c r="B242" s="3">
        <v>6</v>
      </c>
      <c r="C242" s="2">
        <v>2</v>
      </c>
      <c r="D242" s="9">
        <v>77</v>
      </c>
      <c r="E242" s="3" t="s">
        <v>53</v>
      </c>
      <c r="F242" s="3">
        <f>IF(E243="Happy", 1,2)</f>
        <v>2</v>
      </c>
      <c r="G242" s="11"/>
      <c r="H242" s="3" t="s">
        <v>76</v>
      </c>
      <c r="I242" s="3">
        <f t="shared" si="26"/>
        <v>2</v>
      </c>
      <c r="J242" s="3" t="s">
        <v>78</v>
      </c>
      <c r="K242" s="3">
        <v>2</v>
      </c>
      <c r="L242" s="6" t="s">
        <v>165</v>
      </c>
      <c r="M242" s="3">
        <v>-61</v>
      </c>
      <c r="N242" s="3">
        <f t="shared" si="27"/>
        <v>-0.61</v>
      </c>
      <c r="O242" s="3">
        <v>44</v>
      </c>
      <c r="P242" s="3">
        <v>0.44</v>
      </c>
      <c r="Q242" s="17">
        <v>0.192</v>
      </c>
      <c r="R242" s="21">
        <v>0.43314763649360938</v>
      </c>
      <c r="S242" s="3">
        <v>3</v>
      </c>
      <c r="T242" s="3">
        <v>99.44</v>
      </c>
      <c r="U242" s="3">
        <v>130.84</v>
      </c>
      <c r="V242" s="26">
        <v>-1.3754075393823999</v>
      </c>
      <c r="W242" s="18">
        <v>0.35864058265638799</v>
      </c>
      <c r="X242" s="18">
        <v>-0.97608092929991697</v>
      </c>
      <c r="Y242" s="18">
        <v>-1.90605958683843</v>
      </c>
      <c r="Z242" s="18">
        <v>-1.3443460758027901</v>
      </c>
      <c r="AA242" s="18">
        <v>-1.3712631575282399</v>
      </c>
      <c r="AB242" s="18">
        <v>-0.445816056278594</v>
      </c>
      <c r="AC242" s="18">
        <v>1.25104205577742</v>
      </c>
      <c r="AD242" s="18">
        <v>-0.21904707887394001</v>
      </c>
      <c r="AE242" s="21">
        <v>0.449973378690259</v>
      </c>
      <c r="AF242" s="3">
        <v>0</v>
      </c>
      <c r="AG242" s="3">
        <v>0.271069</v>
      </c>
      <c r="AH242" s="3">
        <v>-0.32822400000000002</v>
      </c>
      <c r="AI242" s="3">
        <v>48.986600000000003</v>
      </c>
      <c r="AJ242" s="3">
        <v>0.10155</v>
      </c>
      <c r="AK242" s="3">
        <v>-0.60721899999999995</v>
      </c>
      <c r="AL242" s="3">
        <v>0</v>
      </c>
      <c r="AM242" s="3">
        <v>0</v>
      </c>
      <c r="AN242" s="3">
        <v>-0.46843099999999999</v>
      </c>
      <c r="AO242" s="3">
        <v>28.107099999999999</v>
      </c>
      <c r="AP242" s="3">
        <v>3.9193800000000001E-2</v>
      </c>
      <c r="AQ242" s="3">
        <v>0.95195300000000005</v>
      </c>
      <c r="AR242" s="3">
        <v>0</v>
      </c>
      <c r="AS242" s="3">
        <v>3.4561000000000001E-2</v>
      </c>
      <c r="AT242" s="3">
        <v>-0.56572500000000003</v>
      </c>
      <c r="AU242" s="3">
        <v>0</v>
      </c>
      <c r="AV242" s="3">
        <v>5.7704800000000001E-2</v>
      </c>
      <c r="AW242" s="3">
        <v>-0.27628599999999998</v>
      </c>
      <c r="AX242" s="3">
        <v>0</v>
      </c>
      <c r="AY242" s="3">
        <v>0.10412200000000001</v>
      </c>
      <c r="AZ242" s="21">
        <v>-0.25350299999999998</v>
      </c>
      <c r="BA242" s="3">
        <v>31.404</v>
      </c>
      <c r="BB242" s="3">
        <v>2</v>
      </c>
    </row>
    <row r="243" spans="1:54" s="3" customFormat="1" ht="47.25" customHeight="1" x14ac:dyDescent="0.25">
      <c r="A243" s="2">
        <v>241</v>
      </c>
      <c r="B243" s="3">
        <v>6</v>
      </c>
      <c r="C243" s="2">
        <v>2</v>
      </c>
      <c r="D243" s="9">
        <v>77</v>
      </c>
      <c r="E243" s="3" t="s">
        <v>53</v>
      </c>
      <c r="F243" s="3">
        <f t="shared" ref="F243:F250" si="32">IF(E243="Happy", 1,2)</f>
        <v>2</v>
      </c>
      <c r="G243" s="11"/>
      <c r="H243" s="3" t="s">
        <v>76</v>
      </c>
      <c r="I243" s="3">
        <f t="shared" si="26"/>
        <v>2</v>
      </c>
      <c r="J243" s="3" t="s">
        <v>79</v>
      </c>
      <c r="K243" s="3">
        <v>3</v>
      </c>
      <c r="L243" s="6" t="s">
        <v>151</v>
      </c>
      <c r="M243" s="3">
        <v>-61</v>
      </c>
      <c r="N243" s="3">
        <f t="shared" si="27"/>
        <v>-0.61</v>
      </c>
      <c r="O243" s="3">
        <v>44</v>
      </c>
      <c r="P243" s="3">
        <v>0.44</v>
      </c>
      <c r="Q243" s="17">
        <v>-0.45718750000000002</v>
      </c>
      <c r="R243" s="21">
        <v>0.34528694706024599</v>
      </c>
      <c r="S243" s="3">
        <v>5</v>
      </c>
      <c r="T243" s="3">
        <v>147.79</v>
      </c>
      <c r="U243" s="3">
        <v>165.49</v>
      </c>
      <c r="V243" s="26">
        <v>-4.0612040758827801E-2</v>
      </c>
      <c r="W243" s="18">
        <v>2.43574903959952</v>
      </c>
      <c r="X243" s="18">
        <v>-1.1741585436092301</v>
      </c>
      <c r="Y243" s="18">
        <v>-0.54886450921970997</v>
      </c>
      <c r="Z243" s="18">
        <v>-0.39895770161958299</v>
      </c>
      <c r="AA243" s="18">
        <v>6.8065455211311797E-3</v>
      </c>
      <c r="AB243" s="18">
        <v>1.0534467499990501</v>
      </c>
      <c r="AC243" s="18">
        <v>0.44505769977639298</v>
      </c>
      <c r="AD243" s="18">
        <v>-0.78673781879638005</v>
      </c>
      <c r="AE243" s="21">
        <v>2.3527939425110498</v>
      </c>
      <c r="AF243" s="3">
        <v>0</v>
      </c>
      <c r="AG243" s="3">
        <v>7.1544899999999995E-2</v>
      </c>
      <c r="AH243" s="3">
        <v>-0.65116799999999997</v>
      </c>
      <c r="AI243" s="3">
        <v>49.072400000000002</v>
      </c>
      <c r="AJ243" s="3">
        <v>0.195298</v>
      </c>
      <c r="AK243" s="3">
        <v>-0.32632</v>
      </c>
      <c r="AL243" s="3">
        <v>0</v>
      </c>
      <c r="AM243" s="3">
        <v>0.16201099999999999</v>
      </c>
      <c r="AN243" s="3">
        <v>1.1651400000000001</v>
      </c>
      <c r="AO243" s="3">
        <v>40.113100000000003</v>
      </c>
      <c r="AP243" s="3">
        <v>9.3232499999999996E-2</v>
      </c>
      <c r="AQ243" s="3">
        <v>1.1035600000000001</v>
      </c>
      <c r="AR243" s="3">
        <v>0</v>
      </c>
      <c r="AS243" s="3">
        <v>8.6971800000000002E-2</v>
      </c>
      <c r="AT243" s="3">
        <v>0.79090700000000003</v>
      </c>
      <c r="AU243" s="3">
        <v>0</v>
      </c>
      <c r="AV243" s="3">
        <v>0.174793</v>
      </c>
      <c r="AW243" s="3">
        <v>0.54831200000000002</v>
      </c>
      <c r="AX243" s="3">
        <v>0</v>
      </c>
      <c r="AY243" s="3">
        <v>2.3858600000000001E-2</v>
      </c>
      <c r="AZ243" s="21">
        <v>-0.51151999999999997</v>
      </c>
      <c r="BA243" s="3">
        <v>17.7</v>
      </c>
      <c r="BB243" s="3">
        <v>3</v>
      </c>
    </row>
    <row r="244" spans="1:54" s="3" customFormat="1" ht="126" customHeight="1" x14ac:dyDescent="0.25">
      <c r="A244" s="2">
        <v>242</v>
      </c>
      <c r="B244" s="3">
        <v>6</v>
      </c>
      <c r="C244" s="2">
        <v>2</v>
      </c>
      <c r="D244" s="9">
        <v>77</v>
      </c>
      <c r="E244" s="3" t="s">
        <v>53</v>
      </c>
      <c r="F244" s="3">
        <f t="shared" si="32"/>
        <v>2</v>
      </c>
      <c r="G244" s="11"/>
      <c r="H244" s="3" t="s">
        <v>76</v>
      </c>
      <c r="I244" s="3">
        <f t="shared" si="26"/>
        <v>2</v>
      </c>
      <c r="J244" s="3" t="s">
        <v>80</v>
      </c>
      <c r="K244" s="3">
        <v>4</v>
      </c>
      <c r="L244" s="6" t="s">
        <v>215</v>
      </c>
      <c r="M244" s="3">
        <v>-61</v>
      </c>
      <c r="N244" s="3">
        <f t="shared" si="27"/>
        <v>-0.61</v>
      </c>
      <c r="O244" s="3">
        <v>44</v>
      </c>
      <c r="P244" s="3">
        <v>0.44</v>
      </c>
      <c r="Q244" s="17">
        <v>5.4583333333333317E-2</v>
      </c>
      <c r="R244" s="21">
        <v>0.11076754260018221</v>
      </c>
      <c r="S244" s="3">
        <v>7</v>
      </c>
      <c r="T244" s="3">
        <v>172.8</v>
      </c>
      <c r="U244" s="3">
        <v>228.01</v>
      </c>
      <c r="V244" s="26">
        <v>-1.4481612996414801</v>
      </c>
      <c r="W244" s="18">
        <v>-0.596230648888746</v>
      </c>
      <c r="X244" s="18">
        <v>-1.5785431687788001</v>
      </c>
      <c r="Y244" s="18">
        <v>-0.68025499871168904</v>
      </c>
      <c r="Z244" s="18">
        <v>-0.47056443188238301</v>
      </c>
      <c r="AA244" s="18">
        <v>-0.17552990700771101</v>
      </c>
      <c r="AB244" s="18">
        <v>0.80227410670860799</v>
      </c>
      <c r="AC244" s="18">
        <v>0.545538508084213</v>
      </c>
      <c r="AD244" s="18">
        <v>-0.52061318187693795</v>
      </c>
      <c r="AE244" s="21">
        <v>0.52604616293559303</v>
      </c>
      <c r="AF244" s="3">
        <v>0.43478299999999998</v>
      </c>
      <c r="AG244" s="3">
        <v>7.0616300000000007E-2</v>
      </c>
      <c r="AH244" s="3">
        <v>2.9077600000000001</v>
      </c>
      <c r="AI244" s="3">
        <v>54.478299999999997</v>
      </c>
      <c r="AJ244" s="3">
        <v>0.26386500000000002</v>
      </c>
      <c r="AK244" s="3">
        <v>-0.32189899999999999</v>
      </c>
      <c r="AL244" s="3">
        <v>0</v>
      </c>
      <c r="AM244" s="3">
        <v>0.30140899999999998</v>
      </c>
      <c r="AN244" s="3">
        <v>0.44916400000000001</v>
      </c>
      <c r="AO244" s="3">
        <v>13.913</v>
      </c>
      <c r="AP244" s="3">
        <v>0.20225099999999999</v>
      </c>
      <c r="AQ244" s="3">
        <v>1.80853</v>
      </c>
      <c r="AR244" s="3">
        <v>2.0217399999999999</v>
      </c>
      <c r="AS244" s="3">
        <v>0.11572200000000001</v>
      </c>
      <c r="AT244" s="3">
        <v>3.9127299999999998</v>
      </c>
      <c r="AU244" s="3">
        <v>0</v>
      </c>
      <c r="AV244" s="3">
        <v>2.6641499999999999E-2</v>
      </c>
      <c r="AW244" s="3">
        <v>-0.491757</v>
      </c>
      <c r="AX244" s="3">
        <v>0</v>
      </c>
      <c r="AY244" s="3">
        <v>0.19622500000000001</v>
      </c>
      <c r="AZ244" s="21">
        <v>8.5375699999999999E-2</v>
      </c>
      <c r="BA244" s="3">
        <v>55.21</v>
      </c>
      <c r="BB244" s="3">
        <v>4</v>
      </c>
    </row>
    <row r="245" spans="1:54" s="3" customFormat="1" ht="47.25" customHeight="1" x14ac:dyDescent="0.25">
      <c r="A245" s="2">
        <v>243</v>
      </c>
      <c r="B245" s="3">
        <v>6</v>
      </c>
      <c r="C245" s="2">
        <v>2</v>
      </c>
      <c r="D245" s="9">
        <v>77</v>
      </c>
      <c r="E245" s="3" t="s">
        <v>53</v>
      </c>
      <c r="F245" s="3">
        <f t="shared" si="32"/>
        <v>2</v>
      </c>
      <c r="G245" s="11"/>
      <c r="H245" s="3" t="s">
        <v>76</v>
      </c>
      <c r="I245" s="3">
        <f t="shared" si="26"/>
        <v>2</v>
      </c>
      <c r="J245" s="3" t="s">
        <v>81</v>
      </c>
      <c r="K245" s="3">
        <v>5</v>
      </c>
      <c r="L245" s="6" t="s">
        <v>148</v>
      </c>
      <c r="M245" s="3">
        <v>-61</v>
      </c>
      <c r="N245" s="3">
        <f t="shared" si="27"/>
        <v>-0.61</v>
      </c>
      <c r="O245" s="3">
        <v>44</v>
      </c>
      <c r="P245" s="3">
        <v>0.44</v>
      </c>
      <c r="Q245" s="17">
        <v>0.19215277777777781</v>
      </c>
      <c r="R245" s="21">
        <v>0.28097222222222218</v>
      </c>
      <c r="S245" s="3">
        <v>9</v>
      </c>
      <c r="T245" s="3">
        <v>231.92</v>
      </c>
      <c r="U245" s="3">
        <v>256.79000000000002</v>
      </c>
      <c r="V245" s="26">
        <v>-1.33735923832796</v>
      </c>
      <c r="W245" s="18">
        <v>-3.8092421923102398E-3</v>
      </c>
      <c r="X245" s="18">
        <v>0.99775303568668094</v>
      </c>
      <c r="Y245" s="18">
        <v>-1.59672336586224</v>
      </c>
      <c r="Z245" s="18">
        <v>-2.1438279687465598</v>
      </c>
      <c r="AA245" s="18">
        <v>-2.5442253322036601</v>
      </c>
      <c r="AB245" s="18">
        <v>0.379110949099419</v>
      </c>
      <c r="AC245" s="18">
        <v>-0.25260691960911502</v>
      </c>
      <c r="AD245" s="18">
        <v>-0.101117952790605</v>
      </c>
      <c r="AE245" s="21">
        <v>1.28777496307637</v>
      </c>
      <c r="AF245" s="3">
        <v>0</v>
      </c>
      <c r="AG245" s="3">
        <v>0.234518</v>
      </c>
      <c r="AH245" s="3">
        <v>-0.38574399999999998</v>
      </c>
      <c r="AI245" s="3">
        <v>56.666699999999999</v>
      </c>
      <c r="AJ245" s="3">
        <v>0.227907</v>
      </c>
      <c r="AK245" s="3">
        <v>0.13636799999999999</v>
      </c>
      <c r="AL245" s="3">
        <v>0</v>
      </c>
      <c r="AM245" s="3">
        <v>0</v>
      </c>
      <c r="AN245" s="3">
        <v>-0.46843099999999999</v>
      </c>
      <c r="AO245" s="3">
        <v>11.062799999999999</v>
      </c>
      <c r="AP245" s="3">
        <v>5.1542900000000003E-2</v>
      </c>
      <c r="AQ245" s="3">
        <v>0.95252400000000004</v>
      </c>
      <c r="AR245" s="3">
        <v>1.83575</v>
      </c>
      <c r="AS245" s="3">
        <v>0.23492299999999999</v>
      </c>
      <c r="AT245" s="3">
        <v>4.4490100000000004</v>
      </c>
      <c r="AU245" s="3">
        <v>0</v>
      </c>
      <c r="AV245" s="3">
        <v>9.8769099999999999E-2</v>
      </c>
      <c r="AW245" s="3">
        <v>-0.14271700000000001</v>
      </c>
      <c r="AX245" s="3">
        <v>0</v>
      </c>
      <c r="AY245" s="3">
        <v>0</v>
      </c>
      <c r="AZ245" s="21">
        <v>-0.55028299999999997</v>
      </c>
      <c r="BA245" s="3">
        <v>24.87</v>
      </c>
      <c r="BB245" s="3">
        <v>5</v>
      </c>
    </row>
    <row r="246" spans="1:54" s="3" customFormat="1" ht="330.75" customHeight="1" x14ac:dyDescent="0.25">
      <c r="A246" s="2">
        <v>244</v>
      </c>
      <c r="B246" s="3">
        <v>6</v>
      </c>
      <c r="C246" s="2">
        <v>2</v>
      </c>
      <c r="D246" s="9">
        <v>77</v>
      </c>
      <c r="E246" s="3" t="s">
        <v>53</v>
      </c>
      <c r="F246" s="3">
        <f t="shared" si="32"/>
        <v>2</v>
      </c>
      <c r="G246" s="11"/>
      <c r="H246" s="3" t="s">
        <v>76</v>
      </c>
      <c r="I246" s="3">
        <f t="shared" si="26"/>
        <v>2</v>
      </c>
      <c r="J246" s="3" t="s">
        <v>82</v>
      </c>
      <c r="K246" s="3">
        <v>6</v>
      </c>
      <c r="L246" s="6" t="s">
        <v>237</v>
      </c>
      <c r="M246" s="3">
        <v>-61</v>
      </c>
      <c r="N246" s="3">
        <f t="shared" si="27"/>
        <v>-0.61</v>
      </c>
      <c r="O246" s="3">
        <v>44</v>
      </c>
      <c r="P246" s="3">
        <v>0.44</v>
      </c>
      <c r="Q246" s="17">
        <v>5.6910173160173161E-2</v>
      </c>
      <c r="R246" s="21">
        <v>0.36385874558810571</v>
      </c>
      <c r="S246" s="3">
        <v>11</v>
      </c>
      <c r="T246" s="3">
        <v>260.3</v>
      </c>
      <c r="U246" s="3">
        <v>401.05</v>
      </c>
      <c r="V246" s="26">
        <v>-0.225069302830254</v>
      </c>
      <c r="W246" s="18">
        <v>-0.59516196256357001</v>
      </c>
      <c r="X246" s="18">
        <v>0.46309530281679301</v>
      </c>
      <c r="Y246" s="18">
        <v>-0.17636627915612399</v>
      </c>
      <c r="Z246" s="18">
        <v>-0.94543375108900995</v>
      </c>
      <c r="AA246" s="18">
        <v>-0.89637153154947302</v>
      </c>
      <c r="AB246" s="18">
        <v>0.99945680635365597</v>
      </c>
      <c r="AC246" s="18">
        <v>0.61466360316122504</v>
      </c>
      <c r="AD246" s="18">
        <v>-0.53064970324573202</v>
      </c>
      <c r="AE246" s="21">
        <v>0.107645849586255</v>
      </c>
      <c r="AF246" s="3">
        <v>4.9111799999999999</v>
      </c>
      <c r="AG246" s="3">
        <v>0.182364</v>
      </c>
      <c r="AH246" s="3">
        <v>3.1439400000000002</v>
      </c>
      <c r="AI246" s="3">
        <v>54.304400000000001</v>
      </c>
      <c r="AJ246" s="3">
        <v>0.27018199999999998</v>
      </c>
      <c r="AK246" s="3">
        <v>1.46506E-2</v>
      </c>
      <c r="AL246" s="3">
        <v>6.8210900000000005E-2</v>
      </c>
      <c r="AM246" s="3">
        <v>0.28739900000000002</v>
      </c>
      <c r="AN246" s="3">
        <v>8.0632400000000004</v>
      </c>
      <c r="AO246" s="3">
        <v>7.5458299999999996</v>
      </c>
      <c r="AP246" s="3">
        <v>3.40168E-2</v>
      </c>
      <c r="AQ246" s="3">
        <v>0.91805899999999996</v>
      </c>
      <c r="AR246" s="3">
        <v>0</v>
      </c>
      <c r="AS246" s="3">
        <v>7.5466800000000001E-2</v>
      </c>
      <c r="AT246" s="3">
        <v>-0.62752200000000002</v>
      </c>
      <c r="AU246" s="3">
        <v>0.25579099999999999</v>
      </c>
      <c r="AV246" s="3">
        <v>0.230016</v>
      </c>
      <c r="AW246" s="3">
        <v>5.5426399999999996</v>
      </c>
      <c r="AX246" s="3">
        <v>0.78442500000000004</v>
      </c>
      <c r="AY246" s="3">
        <v>0.62140300000000004</v>
      </c>
      <c r="AZ246" s="21">
        <v>9.8535900000000005</v>
      </c>
      <c r="BA246" s="3">
        <v>140.75</v>
      </c>
      <c r="BB246" s="3">
        <v>6</v>
      </c>
    </row>
    <row r="247" spans="1:54" s="3" customFormat="1" ht="157.5" customHeight="1" x14ac:dyDescent="0.25">
      <c r="A247" s="2">
        <v>245</v>
      </c>
      <c r="B247" s="3">
        <v>6</v>
      </c>
      <c r="C247" s="2">
        <v>2</v>
      </c>
      <c r="D247" s="9">
        <v>77</v>
      </c>
      <c r="E247" s="3" t="s">
        <v>53</v>
      </c>
      <c r="F247" s="3">
        <f t="shared" si="32"/>
        <v>2</v>
      </c>
      <c r="G247" s="11"/>
      <c r="H247" s="3" t="s">
        <v>76</v>
      </c>
      <c r="I247" s="3">
        <f t="shared" si="26"/>
        <v>2</v>
      </c>
      <c r="J247" s="3" t="s">
        <v>83</v>
      </c>
      <c r="K247" s="3">
        <v>7</v>
      </c>
      <c r="L247" s="6" t="s">
        <v>199</v>
      </c>
      <c r="M247" s="3">
        <v>-61</v>
      </c>
      <c r="N247" s="3">
        <f t="shared" si="27"/>
        <v>-0.61</v>
      </c>
      <c r="O247" s="3">
        <v>44</v>
      </c>
      <c r="P247" s="3">
        <v>0.44</v>
      </c>
      <c r="Q247" s="17">
        <v>-8.5683760683760685E-2</v>
      </c>
      <c r="R247" s="21">
        <v>0.36742669223811281</v>
      </c>
      <c r="S247" s="3">
        <v>13</v>
      </c>
      <c r="T247" s="3">
        <v>412.18</v>
      </c>
      <c r="U247" s="3">
        <v>500.65</v>
      </c>
      <c r="V247" s="26">
        <v>3.0501598592677402E-2</v>
      </c>
      <c r="W247" s="18">
        <v>3.1797443096522597E-2</v>
      </c>
      <c r="X247" s="18">
        <v>-0.17475994295141301</v>
      </c>
      <c r="Y247" s="18">
        <v>0.119177881012205</v>
      </c>
      <c r="Z247" s="18">
        <v>-0.69650196459200697</v>
      </c>
      <c r="AA247" s="18">
        <v>-0.57863949291452599</v>
      </c>
      <c r="AB247" s="18">
        <v>0.35213939008836398</v>
      </c>
      <c r="AC247" s="18">
        <v>1.7840891807011801</v>
      </c>
      <c r="AD247" s="18">
        <v>0.42877901135246799</v>
      </c>
      <c r="AE247" s="21">
        <v>0.31784696394836298</v>
      </c>
      <c r="AF247" s="3">
        <v>0.24417800000000001</v>
      </c>
      <c r="AG247" s="3">
        <v>5.33017E-2</v>
      </c>
      <c r="AH247" s="3">
        <v>2.9195700000000002</v>
      </c>
      <c r="AI247" s="3">
        <v>57.381900000000002</v>
      </c>
      <c r="AJ247" s="3">
        <v>7.6092999999999994E-2</v>
      </c>
      <c r="AK247" s="3">
        <v>-0.74848199999999998</v>
      </c>
      <c r="AL247" s="3">
        <v>0</v>
      </c>
      <c r="AM247" s="3">
        <v>9.8334599999999994E-2</v>
      </c>
      <c r="AN247" s="3">
        <v>1.4396</v>
      </c>
      <c r="AO247" s="3">
        <v>6.9319499999999996</v>
      </c>
      <c r="AP247" s="3">
        <v>8.1181699999999996E-2</v>
      </c>
      <c r="AQ247" s="3">
        <v>1.07395</v>
      </c>
      <c r="AR247" s="3">
        <v>0</v>
      </c>
      <c r="AS247" s="3">
        <v>6.4549700000000002E-2</v>
      </c>
      <c r="AT247" s="3">
        <v>1.7373000000000001</v>
      </c>
      <c r="AU247" s="3">
        <v>0</v>
      </c>
      <c r="AV247" s="3">
        <v>0</v>
      </c>
      <c r="AW247" s="3">
        <v>-0.52468999999999999</v>
      </c>
      <c r="AX247" s="3">
        <v>0</v>
      </c>
      <c r="AY247" s="3">
        <v>0</v>
      </c>
      <c r="AZ247" s="21">
        <v>-0.55028299999999997</v>
      </c>
      <c r="BA247" s="3">
        <v>88.47</v>
      </c>
      <c r="BB247" s="3">
        <v>7</v>
      </c>
    </row>
    <row r="248" spans="1:54" s="3" customFormat="1" ht="204.75" customHeight="1" x14ac:dyDescent="0.25">
      <c r="A248" s="2">
        <v>246</v>
      </c>
      <c r="B248" s="3">
        <v>6</v>
      </c>
      <c r="C248" s="2">
        <v>2</v>
      </c>
      <c r="D248" s="9">
        <v>77</v>
      </c>
      <c r="E248" s="3" t="s">
        <v>53</v>
      </c>
      <c r="F248" s="3">
        <f t="shared" si="32"/>
        <v>2</v>
      </c>
      <c r="G248" s="11" t="s">
        <v>84</v>
      </c>
      <c r="H248" s="3" t="s">
        <v>84</v>
      </c>
      <c r="I248" s="3">
        <f t="shared" si="26"/>
        <v>3</v>
      </c>
      <c r="J248" s="3" t="s">
        <v>85</v>
      </c>
      <c r="K248" s="3">
        <v>1</v>
      </c>
      <c r="L248" s="6" t="s">
        <v>238</v>
      </c>
      <c r="M248" s="3">
        <v>-43</v>
      </c>
      <c r="N248" s="3">
        <f t="shared" si="27"/>
        <v>-0.43</v>
      </c>
      <c r="O248" s="3">
        <v>27</v>
      </c>
      <c r="P248" s="3">
        <v>0.27</v>
      </c>
      <c r="Q248" s="17">
        <v>-6.2124542124542138E-2</v>
      </c>
      <c r="R248" s="21">
        <v>0.34331008958159231</v>
      </c>
      <c r="S248" s="3">
        <v>2</v>
      </c>
      <c r="T248" s="3">
        <v>36.61</v>
      </c>
      <c r="U248" s="3">
        <v>154.05000000000001</v>
      </c>
      <c r="V248" s="26">
        <v>-0.72918738178945997</v>
      </c>
      <c r="W248" s="18">
        <v>-0.93708329463865303</v>
      </c>
      <c r="X248" s="18">
        <v>0.55090120371673701</v>
      </c>
      <c r="Y248" s="18">
        <v>-0.57076292413504204</v>
      </c>
      <c r="Z248" s="18">
        <v>-0.50219016231667601</v>
      </c>
      <c r="AA248" s="18">
        <v>-0.515137844058976</v>
      </c>
      <c r="AB248" s="18">
        <v>0.16530515318887801</v>
      </c>
      <c r="AC248" s="18">
        <v>-0.19096443791672801</v>
      </c>
      <c r="AD248" s="18">
        <v>0.20201635667626699</v>
      </c>
      <c r="AE248" s="21">
        <v>-9.45476032763439E-2</v>
      </c>
      <c r="AF248" s="3">
        <v>2.5753699999999999</v>
      </c>
      <c r="AG248" s="3">
        <v>6.0138700000000003E-2</v>
      </c>
      <c r="AH248" s="3">
        <v>2.6385700000000001</v>
      </c>
      <c r="AI248" s="3">
        <v>50.393500000000003</v>
      </c>
      <c r="AJ248" s="3">
        <v>0.34390399999999999</v>
      </c>
      <c r="AK248" s="3">
        <v>0.492114</v>
      </c>
      <c r="AL248" s="3">
        <v>0</v>
      </c>
      <c r="AM248" s="3">
        <v>0.119537</v>
      </c>
      <c r="AN248" s="3">
        <v>-0.29898599999999997</v>
      </c>
      <c r="AO248" s="3">
        <v>6.8063399999999996</v>
      </c>
      <c r="AP248" s="3">
        <v>6.5667500000000004E-2</v>
      </c>
      <c r="AQ248" s="3">
        <v>1.21875</v>
      </c>
      <c r="AR248" s="3">
        <v>0.173735</v>
      </c>
      <c r="AS248" s="3">
        <v>9.5509499999999997E-2</v>
      </c>
      <c r="AT248" s="3">
        <v>2.6697700000000002</v>
      </c>
      <c r="AU248" s="3">
        <v>0</v>
      </c>
      <c r="AV248" s="3">
        <v>0.35164299999999998</v>
      </c>
      <c r="AW248" s="3">
        <v>3.08372</v>
      </c>
      <c r="AX248" s="3">
        <v>0.470107</v>
      </c>
      <c r="AY248" s="3">
        <v>0.14859700000000001</v>
      </c>
      <c r="AZ248" s="21">
        <v>5.80511</v>
      </c>
      <c r="BA248" s="3">
        <v>117.44</v>
      </c>
      <c r="BB248" s="3">
        <v>1</v>
      </c>
    </row>
    <row r="249" spans="1:54" s="3" customFormat="1" ht="141.75" customHeight="1" x14ac:dyDescent="0.25">
      <c r="A249" s="2">
        <v>247</v>
      </c>
      <c r="B249" s="3">
        <v>6</v>
      </c>
      <c r="C249" s="2">
        <v>2</v>
      </c>
      <c r="D249" s="9">
        <v>77</v>
      </c>
      <c r="E249" s="3" t="s">
        <v>53</v>
      </c>
      <c r="F249" s="3">
        <f t="shared" si="32"/>
        <v>2</v>
      </c>
      <c r="G249" s="11"/>
      <c r="H249" s="3" t="s">
        <v>84</v>
      </c>
      <c r="I249" s="3">
        <f t="shared" si="26"/>
        <v>3</v>
      </c>
      <c r="J249" s="3" t="s">
        <v>86</v>
      </c>
      <c r="K249" s="3">
        <v>2</v>
      </c>
      <c r="L249" s="6" t="s">
        <v>161</v>
      </c>
      <c r="M249" s="3">
        <v>-43</v>
      </c>
      <c r="N249" s="3">
        <f t="shared" si="27"/>
        <v>-0.43</v>
      </c>
      <c r="O249" s="3">
        <v>27</v>
      </c>
      <c r="P249" s="3">
        <v>0.27</v>
      </c>
      <c r="Q249" s="17">
        <v>0.47499999999999992</v>
      </c>
      <c r="R249" s="21">
        <v>0</v>
      </c>
      <c r="S249" s="3">
        <v>3</v>
      </c>
      <c r="T249" s="3">
        <v>154.05000000000001</v>
      </c>
      <c r="U249" s="3">
        <v>159.99</v>
      </c>
      <c r="V249" s="26">
        <v>-1.84465739904689</v>
      </c>
      <c r="W249" s="18">
        <v>-1.21048240260947</v>
      </c>
      <c r="X249" s="18">
        <v>-0.19119673231922599</v>
      </c>
      <c r="Y249" s="18">
        <v>-1.3196999730644601</v>
      </c>
      <c r="Z249" s="18">
        <v>-0.37057740640453002</v>
      </c>
      <c r="AA249" s="18">
        <v>0.101499532911456</v>
      </c>
      <c r="AB249" s="18">
        <v>1.4191548678399</v>
      </c>
      <c r="AC249" s="18">
        <v>-1.07640702176401</v>
      </c>
      <c r="AD249" s="18">
        <v>-1.43864124582886</v>
      </c>
      <c r="AE249" s="21">
        <v>2.31876138113814</v>
      </c>
      <c r="AF249" s="3">
        <v>0</v>
      </c>
      <c r="AG249" s="3">
        <v>0.28673500000000002</v>
      </c>
      <c r="AH249" s="3">
        <v>-0.234629</v>
      </c>
      <c r="AI249" s="3">
        <v>49.864899999999999</v>
      </c>
      <c r="AJ249" s="3">
        <v>0.298983</v>
      </c>
      <c r="AK249" s="3">
        <v>0.33883400000000002</v>
      </c>
      <c r="AL249" s="3">
        <v>0</v>
      </c>
      <c r="AM249" s="3">
        <v>0</v>
      </c>
      <c r="AN249" s="3">
        <v>-0.46750700000000001</v>
      </c>
      <c r="AO249" s="3">
        <v>0</v>
      </c>
      <c r="AP249" s="3">
        <v>0.238811</v>
      </c>
      <c r="AQ249" s="3">
        <v>0.25862099999999999</v>
      </c>
      <c r="AR249" s="3">
        <v>0</v>
      </c>
      <c r="AS249" s="3">
        <v>0.165654</v>
      </c>
      <c r="AT249" s="3">
        <v>-0.25367800000000001</v>
      </c>
      <c r="AU249" s="3">
        <v>0</v>
      </c>
      <c r="AV249" s="3">
        <v>4.0723000000000002E-2</v>
      </c>
      <c r="AW249" s="3">
        <v>-0.483325</v>
      </c>
      <c r="AX249" s="3">
        <v>0</v>
      </c>
      <c r="AY249" s="3">
        <v>0.178202</v>
      </c>
      <c r="AZ249" s="21">
        <v>-0.136541</v>
      </c>
      <c r="BA249" s="3">
        <v>5.94</v>
      </c>
      <c r="BB249" s="3">
        <v>2</v>
      </c>
    </row>
    <row r="250" spans="1:54" s="3" customFormat="1" ht="47.25" customHeight="1" x14ac:dyDescent="0.25">
      <c r="A250" s="2">
        <v>248</v>
      </c>
      <c r="B250" s="3">
        <v>6</v>
      </c>
      <c r="C250" s="2">
        <v>2</v>
      </c>
      <c r="D250" s="9">
        <v>77</v>
      </c>
      <c r="E250" s="3" t="s">
        <v>53</v>
      </c>
      <c r="F250" s="3">
        <f t="shared" si="32"/>
        <v>2</v>
      </c>
      <c r="G250" s="11"/>
      <c r="H250" s="3" t="s">
        <v>84</v>
      </c>
      <c r="I250" s="3">
        <f t="shared" si="26"/>
        <v>3</v>
      </c>
      <c r="J250" s="3" t="s">
        <v>87</v>
      </c>
      <c r="K250" s="3">
        <v>3</v>
      </c>
      <c r="L250" s="6" t="s">
        <v>153</v>
      </c>
      <c r="M250" s="3">
        <v>-43</v>
      </c>
      <c r="N250" s="3">
        <f t="shared" si="27"/>
        <v>-0.43</v>
      </c>
      <c r="O250" s="3">
        <v>27</v>
      </c>
      <c r="P250" s="3">
        <v>0.27</v>
      </c>
      <c r="Q250" s="17">
        <v>2.1666666666666671E-2</v>
      </c>
      <c r="R250" s="21">
        <v>0.34588854980887829</v>
      </c>
      <c r="S250" s="3">
        <v>5</v>
      </c>
      <c r="T250" s="3">
        <v>179.8</v>
      </c>
      <c r="U250" s="3">
        <v>206.08</v>
      </c>
      <c r="V250" s="26">
        <v>-1.3519826064199501</v>
      </c>
      <c r="W250" s="18">
        <v>-0.29660986463019301</v>
      </c>
      <c r="X250" s="18">
        <v>0.22675869585248401</v>
      </c>
      <c r="Y250" s="18">
        <v>-0.79059148517453104</v>
      </c>
      <c r="Z250" s="18">
        <v>-0.39736950991655101</v>
      </c>
      <c r="AA250" s="18">
        <v>7.4868004404633703E-2</v>
      </c>
      <c r="AB250" s="18">
        <v>-1.3325528843902701</v>
      </c>
      <c r="AC250" s="18">
        <v>0.36381789731475001</v>
      </c>
      <c r="AD250" s="18">
        <v>0.85266521853764898</v>
      </c>
      <c r="AE250" s="21">
        <v>-7.0524618777817197E-2</v>
      </c>
      <c r="AF250" s="3">
        <v>0</v>
      </c>
      <c r="AG250" s="3">
        <v>0.22516700000000001</v>
      </c>
      <c r="AH250" s="3">
        <v>-0.33540999999999999</v>
      </c>
      <c r="AI250" s="3">
        <v>58.309199999999997</v>
      </c>
      <c r="AJ250" s="3">
        <v>0.31560199999999999</v>
      </c>
      <c r="AK250" s="3">
        <v>0.60488500000000001</v>
      </c>
      <c r="AL250" s="3">
        <v>0</v>
      </c>
      <c r="AM250" s="3">
        <v>1.8467899999999999E-2</v>
      </c>
      <c r="AN250" s="3">
        <v>-0.44462299999999999</v>
      </c>
      <c r="AO250" s="3">
        <v>7.7684699999999998</v>
      </c>
      <c r="AP250" s="3">
        <v>0.114202</v>
      </c>
      <c r="AQ250" s="3">
        <v>1.4549099999999999</v>
      </c>
      <c r="AR250" s="3">
        <v>0</v>
      </c>
      <c r="AS250" s="3">
        <v>5.3684099999999998E-2</v>
      </c>
      <c r="AT250" s="3">
        <v>-1.0664499999999999</v>
      </c>
      <c r="AU250" s="3">
        <v>0</v>
      </c>
      <c r="AV250" s="3">
        <v>2.98017E-2</v>
      </c>
      <c r="AW250" s="3">
        <v>-0.51101200000000002</v>
      </c>
      <c r="AX250" s="3">
        <v>0</v>
      </c>
      <c r="AY250" s="3">
        <v>0.103903</v>
      </c>
      <c r="AZ250" s="21">
        <v>-0.122723</v>
      </c>
      <c r="BA250" s="3">
        <v>26.28</v>
      </c>
      <c r="BB250" s="3">
        <v>3</v>
      </c>
    </row>
    <row r="251" spans="1:54" s="3" customFormat="1" ht="63" customHeight="1" x14ac:dyDescent="0.25">
      <c r="A251" s="2">
        <v>249</v>
      </c>
      <c r="B251" s="3">
        <v>6</v>
      </c>
      <c r="C251" s="2">
        <v>2</v>
      </c>
      <c r="D251" s="9">
        <v>77</v>
      </c>
      <c r="E251" s="3" t="s">
        <v>53</v>
      </c>
      <c r="F251" s="3">
        <f>IF(E252="Happy", 1,2)</f>
        <v>1</v>
      </c>
      <c r="G251" s="11"/>
      <c r="H251" s="3" t="s">
        <v>84</v>
      </c>
      <c r="I251" s="3">
        <f t="shared" si="26"/>
        <v>3</v>
      </c>
      <c r="J251" s="3" t="s">
        <v>88</v>
      </c>
      <c r="K251" s="3">
        <v>4</v>
      </c>
      <c r="L251" s="6" t="s">
        <v>160</v>
      </c>
      <c r="M251" s="3">
        <v>-43</v>
      </c>
      <c r="N251" s="3">
        <f t="shared" si="27"/>
        <v>-0.43</v>
      </c>
      <c r="O251" s="3">
        <v>27</v>
      </c>
      <c r="P251" s="3">
        <v>0.27</v>
      </c>
      <c r="Q251" s="17">
        <v>9.3749999999999944E-3</v>
      </c>
      <c r="R251" s="21">
        <v>0.22989467697186899</v>
      </c>
      <c r="S251" s="3">
        <v>6</v>
      </c>
      <c r="T251" s="3">
        <v>206.08</v>
      </c>
      <c r="U251" s="3">
        <v>234.09</v>
      </c>
      <c r="V251" s="26">
        <v>-1.8262279488487601</v>
      </c>
      <c r="W251" s="18">
        <v>-1.40366202888045</v>
      </c>
      <c r="X251" s="18">
        <v>-1.75413846777811</v>
      </c>
      <c r="Y251" s="18">
        <v>-1.7167987360792001</v>
      </c>
      <c r="Z251" s="18">
        <v>-2.02395402107422</v>
      </c>
      <c r="AA251" s="18">
        <v>-2.6143009403019599</v>
      </c>
      <c r="AB251" s="18">
        <v>0.89185152404913903</v>
      </c>
      <c r="AC251" s="18">
        <v>1.78872127470119</v>
      </c>
      <c r="AD251" s="18">
        <v>-0.37194720910166901</v>
      </c>
      <c r="AE251" s="21">
        <v>1.1936849404571499</v>
      </c>
      <c r="AF251" s="3">
        <v>0.25714300000000001</v>
      </c>
      <c r="AG251" s="3">
        <v>2.8577399999999999E-2</v>
      </c>
      <c r="AH251" s="3">
        <v>2.5005600000000001</v>
      </c>
      <c r="AI251" s="3">
        <v>55.242899999999999</v>
      </c>
      <c r="AJ251" s="3">
        <v>0.200465</v>
      </c>
      <c r="AK251" s="3">
        <v>-0.247695</v>
      </c>
      <c r="AL251" s="3">
        <v>0</v>
      </c>
      <c r="AM251" s="3">
        <v>8.9442700000000007E-3</v>
      </c>
      <c r="AN251" s="3">
        <v>-0.46140500000000001</v>
      </c>
      <c r="AO251" s="3">
        <v>6.0857099999999997</v>
      </c>
      <c r="AP251" s="3">
        <v>0.212536</v>
      </c>
      <c r="AQ251" s="3">
        <v>2.2144599999999999</v>
      </c>
      <c r="AR251" s="3">
        <v>1.0714300000000001</v>
      </c>
      <c r="AS251" s="3">
        <v>8.6915699999999999E-2</v>
      </c>
      <c r="AT251" s="3">
        <v>2.6229</v>
      </c>
      <c r="AU251" s="3">
        <v>0</v>
      </c>
      <c r="AV251" s="3">
        <v>0.16519900000000001</v>
      </c>
      <c r="AW251" s="3">
        <v>-0.184583</v>
      </c>
      <c r="AX251" s="3">
        <v>0</v>
      </c>
      <c r="AY251" s="3">
        <v>0</v>
      </c>
      <c r="AZ251" s="21">
        <v>-0.58527799999999996</v>
      </c>
      <c r="BA251" s="3">
        <v>28.01</v>
      </c>
      <c r="BB251" s="3">
        <v>4</v>
      </c>
    </row>
    <row r="252" spans="1:54" s="3" customFormat="1" ht="94.5" customHeight="1" x14ac:dyDescent="0.25">
      <c r="A252" s="2">
        <v>250</v>
      </c>
      <c r="B252" s="3">
        <v>7</v>
      </c>
      <c r="C252" s="2">
        <v>1</v>
      </c>
      <c r="D252" s="9">
        <v>72</v>
      </c>
      <c r="E252" s="3" t="s">
        <v>16</v>
      </c>
      <c r="F252" s="3">
        <f>IF(E253="Happy", 1,2)</f>
        <v>1</v>
      </c>
      <c r="G252" s="11" t="s">
        <v>17</v>
      </c>
      <c r="H252" s="3" t="s">
        <v>17</v>
      </c>
      <c r="I252" s="3">
        <f t="shared" si="26"/>
        <v>1</v>
      </c>
      <c r="J252" s="3" t="s">
        <v>18</v>
      </c>
      <c r="K252" s="3">
        <v>1</v>
      </c>
      <c r="L252" s="6" t="s">
        <v>215</v>
      </c>
      <c r="M252" s="3">
        <v>83</v>
      </c>
      <c r="N252" s="3">
        <f t="shared" si="27"/>
        <v>0.83</v>
      </c>
      <c r="O252" s="3">
        <v>88</v>
      </c>
      <c r="P252" s="3">
        <v>0.88</v>
      </c>
      <c r="Q252" s="17">
        <v>0.5984126984126984</v>
      </c>
      <c r="R252" s="21">
        <v>0.41424784689797972</v>
      </c>
      <c r="S252" s="3">
        <v>2</v>
      </c>
      <c r="T252" s="3">
        <v>47.5</v>
      </c>
      <c r="U252" s="3">
        <v>102.86</v>
      </c>
      <c r="V252" s="26">
        <v>-0.45527519913953002</v>
      </c>
      <c r="W252" s="18">
        <v>-1.28689998564675</v>
      </c>
      <c r="X252" s="18">
        <v>-0.45441261685849899</v>
      </c>
      <c r="Y252" s="18">
        <v>-3.8998557935352299E-2</v>
      </c>
      <c r="Z252" s="18">
        <v>4.4631026977570796E-3</v>
      </c>
      <c r="AA252" s="18">
        <v>0.40302837710213302</v>
      </c>
      <c r="AB252" s="18">
        <v>1.30292161121578</v>
      </c>
      <c r="AC252" s="18">
        <v>-0.165145128755221</v>
      </c>
      <c r="AD252" s="18">
        <v>-8.6596806216952094E-2</v>
      </c>
      <c r="AE252" s="21">
        <v>1.35383469320696</v>
      </c>
      <c r="AF252" s="3">
        <v>0.30357800000000001</v>
      </c>
      <c r="AG252" s="3">
        <v>4.4572000000000001E-2</v>
      </c>
      <c r="AH252" s="3">
        <v>2.3761800000000002</v>
      </c>
      <c r="AI252" s="3">
        <v>51.022799999999997</v>
      </c>
      <c r="AJ252" s="3">
        <v>4.3089099999999998E-2</v>
      </c>
      <c r="AK252" s="3">
        <v>0.13613600000000001</v>
      </c>
      <c r="AL252" s="3">
        <v>0</v>
      </c>
      <c r="AM252" s="3">
        <v>0</v>
      </c>
      <c r="AN252" s="3">
        <v>-0.45389099999999999</v>
      </c>
      <c r="AO252" s="3">
        <v>3.4044099999999999</v>
      </c>
      <c r="AP252" s="3">
        <v>8.4166099999999994E-2</v>
      </c>
      <c r="AQ252" s="3">
        <v>2.0543800000000001</v>
      </c>
      <c r="AR252" s="3">
        <v>2.9056700000000002</v>
      </c>
      <c r="AS252" s="3">
        <v>0.173265</v>
      </c>
      <c r="AT252" s="3">
        <v>2.7806199999999999</v>
      </c>
      <c r="AU252" s="3">
        <v>2.2334700000000001</v>
      </c>
      <c r="AV252" s="3">
        <v>9.2199299999999998E-2</v>
      </c>
      <c r="AW252" s="3">
        <v>1.5406299999999999</v>
      </c>
      <c r="AX252" s="3">
        <v>11.3408</v>
      </c>
      <c r="AY252" s="3">
        <v>0.18875</v>
      </c>
      <c r="AZ252" s="21">
        <v>2.1170499999999999</v>
      </c>
      <c r="BA252" s="3">
        <v>55.359000000000002</v>
      </c>
      <c r="BB252" s="3">
        <v>1</v>
      </c>
    </row>
    <row r="253" spans="1:54" s="3" customFormat="1" ht="94.5" customHeight="1" x14ac:dyDescent="0.25">
      <c r="A253" s="2">
        <v>251</v>
      </c>
      <c r="B253" s="3">
        <v>7</v>
      </c>
      <c r="C253" s="2">
        <v>1</v>
      </c>
      <c r="D253" s="9">
        <v>72</v>
      </c>
      <c r="E253" s="3" t="s">
        <v>16</v>
      </c>
      <c r="F253" s="3">
        <f t="shared" ref="F253:F260" si="33">IF(E253="Happy", 1,2)</f>
        <v>1</v>
      </c>
      <c r="G253" s="11"/>
      <c r="H253" s="3" t="s">
        <v>17</v>
      </c>
      <c r="I253" s="3">
        <f t="shared" si="26"/>
        <v>1</v>
      </c>
      <c r="J253" s="3" t="s">
        <v>19</v>
      </c>
      <c r="K253" s="3">
        <v>2</v>
      </c>
      <c r="L253" s="6" t="s">
        <v>189</v>
      </c>
      <c r="M253" s="3">
        <v>83</v>
      </c>
      <c r="N253" s="3">
        <f t="shared" si="27"/>
        <v>0.83</v>
      </c>
      <c r="O253" s="3">
        <v>88</v>
      </c>
      <c r="P253" s="3">
        <v>0.88</v>
      </c>
      <c r="Q253" s="17">
        <v>0.20487962962962961</v>
      </c>
      <c r="R253" s="21">
        <v>0.25449131159019378</v>
      </c>
      <c r="S253" s="3">
        <v>3</v>
      </c>
      <c r="T253" s="3">
        <v>102.86</v>
      </c>
      <c r="U253" s="3">
        <v>165.19</v>
      </c>
      <c r="V253" s="26">
        <v>-0.32609571078619898</v>
      </c>
      <c r="W253" s="18">
        <v>-5.5822203781516503E-3</v>
      </c>
      <c r="X253" s="18">
        <v>-0.68340773890496098</v>
      </c>
      <c r="Y253" s="18">
        <v>-0.59674458671831798</v>
      </c>
      <c r="Z253" s="18">
        <v>-0.25706676773998599</v>
      </c>
      <c r="AA253" s="18">
        <v>-0.16381537200680901</v>
      </c>
      <c r="AB253" s="18">
        <v>8.4488361162412207E-2</v>
      </c>
      <c r="AC253" s="18">
        <v>-0.6347750716035</v>
      </c>
      <c r="AD253" s="18">
        <v>0.43999583758044702</v>
      </c>
      <c r="AE253" s="21">
        <v>-0.75288871845715299</v>
      </c>
      <c r="AF253" s="3">
        <v>0.327343</v>
      </c>
      <c r="AG253" s="3">
        <v>0.26009399999999999</v>
      </c>
      <c r="AH253" s="3">
        <v>2.9762300000000002</v>
      </c>
      <c r="AI253" s="3">
        <v>27.419799999999999</v>
      </c>
      <c r="AJ253" s="3">
        <v>0.10295600000000001</v>
      </c>
      <c r="AK253" s="3">
        <v>0.75667200000000001</v>
      </c>
      <c r="AL253" s="3">
        <v>0.90500599999999998</v>
      </c>
      <c r="AM253" s="3">
        <v>0.342053</v>
      </c>
      <c r="AN253" s="3">
        <v>9.6524800000000006</v>
      </c>
      <c r="AO253" s="3">
        <v>1.9255500000000001</v>
      </c>
      <c r="AP253" s="3">
        <v>0.40372999999999998</v>
      </c>
      <c r="AQ253" s="3">
        <v>4.3317699999999997</v>
      </c>
      <c r="AR253" s="3">
        <v>2.04108</v>
      </c>
      <c r="AS253" s="3">
        <v>0.21143600000000001</v>
      </c>
      <c r="AT253" s="3">
        <v>4.40273</v>
      </c>
      <c r="AU253" s="3">
        <v>4.1014099999999996</v>
      </c>
      <c r="AV253" s="3">
        <v>0.35796499999999998</v>
      </c>
      <c r="AW253" s="3">
        <v>3.1207799999999999</v>
      </c>
      <c r="AX253" s="3">
        <v>1.02054</v>
      </c>
      <c r="AY253" s="3">
        <v>0.154781</v>
      </c>
      <c r="AZ253" s="21">
        <v>2.3902999999999999</v>
      </c>
      <c r="BA253" s="3">
        <v>62.33</v>
      </c>
      <c r="BB253" s="3">
        <v>2</v>
      </c>
    </row>
    <row r="254" spans="1:54" s="3" customFormat="1" ht="126" customHeight="1" x14ac:dyDescent="0.25">
      <c r="A254" s="2">
        <v>252</v>
      </c>
      <c r="B254" s="3">
        <v>7</v>
      </c>
      <c r="C254" s="2">
        <v>1</v>
      </c>
      <c r="D254" s="9">
        <v>72</v>
      </c>
      <c r="E254" s="3" t="s">
        <v>16</v>
      </c>
      <c r="F254" s="3">
        <f t="shared" si="33"/>
        <v>1</v>
      </c>
      <c r="G254" s="11"/>
      <c r="H254" s="3" t="s">
        <v>17</v>
      </c>
      <c r="I254" s="3">
        <f t="shared" si="26"/>
        <v>1</v>
      </c>
      <c r="J254" s="3" t="s">
        <v>20</v>
      </c>
      <c r="K254" s="3">
        <v>3</v>
      </c>
      <c r="L254" s="6" t="s">
        <v>227</v>
      </c>
      <c r="M254" s="3">
        <v>83</v>
      </c>
      <c r="N254" s="3">
        <f t="shared" si="27"/>
        <v>0.83</v>
      </c>
      <c r="O254" s="3">
        <v>88</v>
      </c>
      <c r="P254" s="3">
        <v>0.88</v>
      </c>
      <c r="Q254" s="17">
        <v>0.24016666666666669</v>
      </c>
      <c r="R254" s="21">
        <v>0.3170394491947004</v>
      </c>
      <c r="S254" s="3">
        <v>4</v>
      </c>
      <c r="T254" s="3">
        <v>165.19</v>
      </c>
      <c r="U254" s="3">
        <v>233.45</v>
      </c>
      <c r="V254" s="26">
        <v>-5.1171315016355003E-2</v>
      </c>
      <c r="W254" s="18">
        <v>-0.85372159711330498</v>
      </c>
      <c r="X254" s="18">
        <v>-0.549870092766097</v>
      </c>
      <c r="Y254" s="18">
        <v>0.83439465689787995</v>
      </c>
      <c r="Z254" s="18">
        <v>1.4142174159368499</v>
      </c>
      <c r="AA254" s="18">
        <v>1.32469373091304</v>
      </c>
      <c r="AB254" s="18">
        <v>0.65827728771665694</v>
      </c>
      <c r="AC254" s="18">
        <v>-0.43496146350307502</v>
      </c>
      <c r="AD254" s="18">
        <v>-0.71762951097138805</v>
      </c>
      <c r="AE254" s="21">
        <v>-0.601858071534635</v>
      </c>
      <c r="AF254" s="3">
        <v>0.24618999999999999</v>
      </c>
      <c r="AG254" s="3">
        <v>0.25458900000000001</v>
      </c>
      <c r="AH254" s="3">
        <v>2.7556600000000002</v>
      </c>
      <c r="AI254" s="3">
        <v>14.085599999999999</v>
      </c>
      <c r="AJ254" s="3">
        <v>8.9537699999999998E-2</v>
      </c>
      <c r="AK254" s="3">
        <v>0.45999899999999999</v>
      </c>
      <c r="AL254" s="3">
        <v>0</v>
      </c>
      <c r="AM254" s="3">
        <v>0</v>
      </c>
      <c r="AN254" s="3">
        <v>-0.45389099999999999</v>
      </c>
      <c r="AO254" s="3">
        <v>0.93200499999999997</v>
      </c>
      <c r="AP254" s="3">
        <v>5.90433E-2</v>
      </c>
      <c r="AQ254" s="3">
        <v>1.8675299999999999</v>
      </c>
      <c r="AR254" s="3">
        <v>0.75615500000000002</v>
      </c>
      <c r="AS254" s="3">
        <v>0.38739600000000002</v>
      </c>
      <c r="AT254" s="3">
        <v>4.1171499999999996</v>
      </c>
      <c r="AU254" s="3">
        <v>0.66822999999999999</v>
      </c>
      <c r="AV254" s="3">
        <v>0.23524999999999999</v>
      </c>
      <c r="AW254" s="3">
        <v>3.02136</v>
      </c>
      <c r="AX254" s="3">
        <v>0.10551000000000001</v>
      </c>
      <c r="AY254" s="3">
        <v>1.0189600000000001</v>
      </c>
      <c r="AZ254" s="21">
        <v>5.47715</v>
      </c>
      <c r="BA254" s="3">
        <v>68.260000000000005</v>
      </c>
      <c r="BB254" s="3">
        <v>3</v>
      </c>
    </row>
    <row r="255" spans="1:54" s="3" customFormat="1" ht="173.25" customHeight="1" x14ac:dyDescent="0.25">
      <c r="A255" s="2">
        <v>253</v>
      </c>
      <c r="B255" s="3">
        <v>7</v>
      </c>
      <c r="C255" s="2">
        <v>1</v>
      </c>
      <c r="D255" s="9">
        <v>72</v>
      </c>
      <c r="E255" s="3" t="s">
        <v>16</v>
      </c>
      <c r="F255" s="3">
        <f t="shared" si="33"/>
        <v>1</v>
      </c>
      <c r="G255" s="11"/>
      <c r="H255" s="3" t="s">
        <v>17</v>
      </c>
      <c r="I255" s="3">
        <f t="shared" si="26"/>
        <v>1</v>
      </c>
      <c r="J255" s="3" t="s">
        <v>21</v>
      </c>
      <c r="K255" s="3">
        <v>4</v>
      </c>
      <c r="L255" s="6" t="s">
        <v>239</v>
      </c>
      <c r="M255" s="3">
        <v>83</v>
      </c>
      <c r="N255" s="3">
        <f t="shared" si="27"/>
        <v>0.83</v>
      </c>
      <c r="O255" s="3">
        <v>88</v>
      </c>
      <c r="P255" s="3">
        <v>0.88</v>
      </c>
      <c r="Q255" s="17">
        <v>-9.3849206349206335E-2</v>
      </c>
      <c r="R255" s="21">
        <v>0.26376551000477222</v>
      </c>
      <c r="S255" s="3">
        <v>5</v>
      </c>
      <c r="T255" s="3">
        <v>233.45</v>
      </c>
      <c r="U255" s="3">
        <v>328.12</v>
      </c>
      <c r="V255" s="26">
        <v>0.95478614329671196</v>
      </c>
      <c r="W255" s="18">
        <v>0.12248260776039301</v>
      </c>
      <c r="X255" s="18">
        <v>5.6314256427652802E-2</v>
      </c>
      <c r="Y255" s="18">
        <v>-0.864704832480369</v>
      </c>
      <c r="Z255" s="18">
        <v>-0.124172110449147</v>
      </c>
      <c r="AA255" s="18">
        <v>-0.12706388300065599</v>
      </c>
      <c r="AB255" s="18">
        <v>1.0848512403471999</v>
      </c>
      <c r="AC255" s="18">
        <v>2.4134088441950401E-2</v>
      </c>
      <c r="AD255" s="18">
        <v>-0.437983927193901</v>
      </c>
      <c r="AE255" s="21">
        <v>-0.14414274361639001</v>
      </c>
      <c r="AF255" s="3">
        <v>0.735263</v>
      </c>
      <c r="AG255" s="3">
        <v>0.13306999999999999</v>
      </c>
      <c r="AH255" s="3">
        <v>2.4253100000000001</v>
      </c>
      <c r="AI255" s="3">
        <v>14.2235</v>
      </c>
      <c r="AJ255" s="3">
        <v>0.187917</v>
      </c>
      <c r="AK255" s="3">
        <v>0.95994599999999997</v>
      </c>
      <c r="AL255" s="3">
        <v>0</v>
      </c>
      <c r="AM255" s="3">
        <v>4.5043699999999999E-2</v>
      </c>
      <c r="AN255" s="3">
        <v>-0.36660199999999998</v>
      </c>
      <c r="AO255" s="3">
        <v>0.13944599999999999</v>
      </c>
      <c r="AP255" s="3">
        <v>0.113762</v>
      </c>
      <c r="AQ255" s="3">
        <v>2.0735600000000001</v>
      </c>
      <c r="AR255" s="3">
        <v>0.24086199999999999</v>
      </c>
      <c r="AS255" s="3">
        <v>0.13519500000000001</v>
      </c>
      <c r="AT255" s="3">
        <v>2.4904000000000002</v>
      </c>
      <c r="AU255" s="3">
        <v>0.77329400000000004</v>
      </c>
      <c r="AV255" s="3">
        <v>7.6966300000000001E-2</v>
      </c>
      <c r="AW255" s="3">
        <v>1.5296700000000001</v>
      </c>
      <c r="AX255" s="3">
        <v>8.6203299999999992</v>
      </c>
      <c r="AY255" s="3">
        <v>0.51765600000000001</v>
      </c>
      <c r="AZ255" s="21">
        <v>3.3446600000000002</v>
      </c>
      <c r="BA255" s="3">
        <v>94.676000000000002</v>
      </c>
      <c r="BB255" s="3">
        <v>4</v>
      </c>
    </row>
    <row r="256" spans="1:54" s="3" customFormat="1" ht="110.25" customHeight="1" x14ac:dyDescent="0.25">
      <c r="A256" s="2">
        <v>254</v>
      </c>
      <c r="B256" s="3">
        <v>7</v>
      </c>
      <c r="C256" s="2">
        <v>1</v>
      </c>
      <c r="D256" s="9">
        <v>72</v>
      </c>
      <c r="E256" s="3" t="s">
        <v>16</v>
      </c>
      <c r="F256" s="3">
        <f t="shared" si="33"/>
        <v>1</v>
      </c>
      <c r="G256" s="11"/>
      <c r="H256" s="3" t="s">
        <v>17</v>
      </c>
      <c r="I256" s="3">
        <f t="shared" si="26"/>
        <v>1</v>
      </c>
      <c r="J256" s="3" t="s">
        <v>22</v>
      </c>
      <c r="K256" s="3">
        <v>5</v>
      </c>
      <c r="L256" s="6" t="s">
        <v>233</v>
      </c>
      <c r="M256" s="3">
        <v>83</v>
      </c>
      <c r="N256" s="3">
        <f t="shared" si="27"/>
        <v>0.83</v>
      </c>
      <c r="O256" s="3">
        <v>88</v>
      </c>
      <c r="P256" s="3">
        <v>0.88</v>
      </c>
      <c r="Q256" s="17">
        <v>0.20390151515151519</v>
      </c>
      <c r="R256" s="21">
        <v>0.4250227229516706</v>
      </c>
      <c r="S256" s="3">
        <v>6</v>
      </c>
      <c r="T256" s="3">
        <v>328.12</v>
      </c>
      <c r="U256" s="3">
        <v>385.13</v>
      </c>
      <c r="V256" s="26">
        <v>-0.32422090829087202</v>
      </c>
      <c r="W256" s="18">
        <v>-1.1087280082086499</v>
      </c>
      <c r="X256" s="18">
        <v>-0.59361914079818501</v>
      </c>
      <c r="Y256" s="18">
        <v>-0.56780318086411097</v>
      </c>
      <c r="Z256" s="18">
        <v>0.1062029685358</v>
      </c>
      <c r="AA256" s="18">
        <v>0.25107794364095498</v>
      </c>
      <c r="AB256" s="18">
        <v>-0.188099602423311</v>
      </c>
      <c r="AC256" s="18">
        <v>-0.122327927019416</v>
      </c>
      <c r="AD256" s="18">
        <v>-0.95676796830292299</v>
      </c>
      <c r="AE256" s="21">
        <v>0.381382262511966</v>
      </c>
      <c r="AF256" s="3">
        <v>2.6956799999999999</v>
      </c>
      <c r="AG256" s="3">
        <v>0.37326999999999999</v>
      </c>
      <c r="AH256" s="3">
        <v>3.3573900000000001</v>
      </c>
      <c r="AI256" s="3">
        <v>36.728700000000003</v>
      </c>
      <c r="AJ256" s="3">
        <v>4.6521899999999998E-2</v>
      </c>
      <c r="AK256" s="3">
        <v>0.21702299999999999</v>
      </c>
      <c r="AL256" s="3">
        <v>0</v>
      </c>
      <c r="AM256" s="3">
        <v>2.1001700000000002E-2</v>
      </c>
      <c r="AN256" s="3">
        <v>-0.41628999999999999</v>
      </c>
      <c r="AO256" s="3">
        <v>0</v>
      </c>
      <c r="AP256" s="3">
        <v>0</v>
      </c>
      <c r="AQ256" s="3">
        <v>-0.91516600000000004</v>
      </c>
      <c r="AR256" s="3">
        <v>0</v>
      </c>
      <c r="AS256" s="3">
        <v>0</v>
      </c>
      <c r="AT256" s="3">
        <v>-0.626193</v>
      </c>
      <c r="AU256" s="3">
        <v>0</v>
      </c>
      <c r="AV256" s="3">
        <v>0.125861</v>
      </c>
      <c r="AW256" s="3">
        <v>-0.63853499999999996</v>
      </c>
      <c r="AX256" s="3">
        <v>0.77922100000000005</v>
      </c>
      <c r="AY256" s="3">
        <v>0.452206</v>
      </c>
      <c r="AZ256" s="21">
        <v>3.1171099999999998</v>
      </c>
      <c r="BA256" s="3">
        <v>57.01</v>
      </c>
      <c r="BB256" s="3">
        <v>5</v>
      </c>
    </row>
    <row r="257" spans="1:54" s="3" customFormat="1" ht="110.25" customHeight="1" x14ac:dyDescent="0.25">
      <c r="A257" s="2">
        <v>255</v>
      </c>
      <c r="B257" s="3">
        <v>7</v>
      </c>
      <c r="C257" s="2">
        <v>1</v>
      </c>
      <c r="D257" s="9">
        <v>72</v>
      </c>
      <c r="E257" s="3" t="s">
        <v>16</v>
      </c>
      <c r="F257" s="3">
        <f t="shared" si="33"/>
        <v>1</v>
      </c>
      <c r="G257" s="11"/>
      <c r="H257" s="3" t="s">
        <v>17</v>
      </c>
      <c r="I257" s="3">
        <f t="shared" si="26"/>
        <v>1</v>
      </c>
      <c r="J257" s="3" t="s">
        <v>23</v>
      </c>
      <c r="K257" s="3">
        <v>6</v>
      </c>
      <c r="L257" s="6" t="s">
        <v>178</v>
      </c>
      <c r="M257" s="3">
        <v>83</v>
      </c>
      <c r="N257" s="3">
        <f t="shared" si="27"/>
        <v>0.83</v>
      </c>
      <c r="O257" s="3">
        <v>88</v>
      </c>
      <c r="P257" s="3">
        <v>0.88</v>
      </c>
      <c r="Q257" s="17">
        <v>0.24265151515151509</v>
      </c>
      <c r="R257" s="21">
        <v>0.22293958392534979</v>
      </c>
      <c r="S257" s="3">
        <v>7</v>
      </c>
      <c r="T257" s="3">
        <v>385.13</v>
      </c>
      <c r="U257" s="3">
        <v>436.69</v>
      </c>
      <c r="V257" s="26">
        <v>-0.86002267217901096</v>
      </c>
      <c r="W257" s="18">
        <v>-0.34182678133995897</v>
      </c>
      <c r="X257" s="18">
        <v>-0.432723995312847</v>
      </c>
      <c r="Y257" s="18">
        <v>-0.50137070614189105</v>
      </c>
      <c r="Z257" s="18">
        <v>-1.02327992003223</v>
      </c>
      <c r="AA257" s="18">
        <v>-1.10680839714859</v>
      </c>
      <c r="AB257" s="18">
        <v>0.85048674921941003</v>
      </c>
      <c r="AC257" s="18">
        <v>0.30516445221584798</v>
      </c>
      <c r="AD257" s="18">
        <v>-0.73300269751413005</v>
      </c>
      <c r="AE257" s="21">
        <v>-2.8558064849156101E-2</v>
      </c>
      <c r="AF257" s="3">
        <v>0.88475000000000004</v>
      </c>
      <c r="AG257" s="3">
        <v>0.50373199999999996</v>
      </c>
      <c r="AH257" s="3">
        <v>3.78091</v>
      </c>
      <c r="AI257" s="3">
        <v>23.8184</v>
      </c>
      <c r="AJ257" s="3">
        <v>0.25748300000000002</v>
      </c>
      <c r="AK257" s="3">
        <v>1.02443</v>
      </c>
      <c r="AL257" s="3">
        <v>0</v>
      </c>
      <c r="AM257" s="3">
        <v>0</v>
      </c>
      <c r="AN257" s="3">
        <v>-0.45389099999999999</v>
      </c>
      <c r="AO257" s="3">
        <v>0.69848699999999997</v>
      </c>
      <c r="AP257" s="3">
        <v>0.15729099999999999</v>
      </c>
      <c r="AQ257" s="3">
        <v>2.2540900000000001</v>
      </c>
      <c r="AR257" s="3">
        <v>1.3736900000000001</v>
      </c>
      <c r="AS257" s="3">
        <v>0.124849</v>
      </c>
      <c r="AT257" s="3">
        <v>2.44217</v>
      </c>
      <c r="AU257" s="3">
        <v>4.1443500000000002</v>
      </c>
      <c r="AV257" s="3">
        <v>0.13780600000000001</v>
      </c>
      <c r="AW257" s="3">
        <v>1.7201599999999999</v>
      </c>
      <c r="AX257" s="3">
        <v>0</v>
      </c>
      <c r="AY257" s="3">
        <v>2.1075E-2</v>
      </c>
      <c r="AZ257" s="21">
        <v>-0.50771200000000005</v>
      </c>
      <c r="BA257" s="3">
        <v>51.555</v>
      </c>
      <c r="BB257" s="3">
        <v>6</v>
      </c>
    </row>
    <row r="258" spans="1:54" s="3" customFormat="1" ht="47.25" customHeight="1" x14ac:dyDescent="0.25">
      <c r="A258" s="2">
        <v>256</v>
      </c>
      <c r="B258" s="3">
        <v>7</v>
      </c>
      <c r="C258" s="2">
        <v>1</v>
      </c>
      <c r="D258" s="9">
        <v>72</v>
      </c>
      <c r="E258" s="3" t="s">
        <v>16</v>
      </c>
      <c r="F258" s="3">
        <f t="shared" si="33"/>
        <v>1</v>
      </c>
      <c r="G258" s="11"/>
      <c r="H258" s="3" t="s">
        <v>17</v>
      </c>
      <c r="I258" s="3">
        <f t="shared" si="26"/>
        <v>1</v>
      </c>
      <c r="J258" s="3" t="s">
        <v>24</v>
      </c>
      <c r="K258" s="3">
        <v>7</v>
      </c>
      <c r="L258" s="6" t="s">
        <v>155</v>
      </c>
      <c r="M258" s="3">
        <v>83</v>
      </c>
      <c r="N258" s="3">
        <f t="shared" si="27"/>
        <v>0.83</v>
      </c>
      <c r="O258" s="3">
        <v>88</v>
      </c>
      <c r="P258" s="3">
        <v>0.88</v>
      </c>
      <c r="Q258" s="17">
        <v>0.23983333333333329</v>
      </c>
      <c r="R258" s="21">
        <v>0.1316803790328013</v>
      </c>
      <c r="S258" s="3">
        <v>8</v>
      </c>
      <c r="T258" s="3">
        <v>436.69</v>
      </c>
      <c r="U258" s="3">
        <v>455.71</v>
      </c>
      <c r="V258" s="26">
        <v>0.17141251258173401</v>
      </c>
      <c r="W258" s="18">
        <v>0.69901237309785402</v>
      </c>
      <c r="X258" s="18">
        <v>-0.297051913402823</v>
      </c>
      <c r="Y258" s="18">
        <v>1.04224174407836</v>
      </c>
      <c r="Z258" s="18">
        <v>0.27731092471796098</v>
      </c>
      <c r="AA258" s="18">
        <v>0.21930783115672101</v>
      </c>
      <c r="AB258" s="18">
        <v>1.03330415748964</v>
      </c>
      <c r="AC258" s="18">
        <v>0.45842284890512103</v>
      </c>
      <c r="AD258" s="18">
        <v>-0.92724168938749896</v>
      </c>
      <c r="AE258" s="21">
        <v>-0.16417742126937701</v>
      </c>
      <c r="AF258" s="3">
        <v>0</v>
      </c>
      <c r="AG258" s="3">
        <v>0.32391199999999998</v>
      </c>
      <c r="AH258" s="3">
        <v>-0.26884799999999998</v>
      </c>
      <c r="AI258" s="3">
        <v>34.484200000000001</v>
      </c>
      <c r="AJ258" s="3">
        <v>0.172538</v>
      </c>
      <c r="AK258" s="3">
        <v>0.75345300000000004</v>
      </c>
      <c r="AL258" s="3">
        <v>0</v>
      </c>
      <c r="AM258" s="3">
        <v>0</v>
      </c>
      <c r="AN258" s="3">
        <v>-0.45389099999999999</v>
      </c>
      <c r="AO258" s="3">
        <v>0</v>
      </c>
      <c r="AP258" s="3">
        <v>0</v>
      </c>
      <c r="AQ258" s="3">
        <v>-0.91516600000000004</v>
      </c>
      <c r="AR258" s="3">
        <v>0</v>
      </c>
      <c r="AS258" s="3">
        <v>6.6666700000000004E-3</v>
      </c>
      <c r="AT258" s="3">
        <v>-0.62234500000000004</v>
      </c>
      <c r="AU258" s="3">
        <v>2.14737</v>
      </c>
      <c r="AV258" s="3">
        <v>0.10125000000000001</v>
      </c>
      <c r="AW258" s="3">
        <v>1.5056799999999999</v>
      </c>
      <c r="AX258" s="3">
        <v>0</v>
      </c>
      <c r="AY258" s="3">
        <v>0</v>
      </c>
      <c r="AZ258" s="21">
        <v>-0.51999399999999996</v>
      </c>
      <c r="BA258" s="3">
        <v>19.027999999999999</v>
      </c>
      <c r="BB258" s="3">
        <v>7</v>
      </c>
    </row>
    <row r="259" spans="1:54" s="3" customFormat="1" ht="31.5" customHeight="1" x14ac:dyDescent="0.25">
      <c r="A259" s="2">
        <v>257</v>
      </c>
      <c r="B259" s="3">
        <v>7</v>
      </c>
      <c r="C259" s="2">
        <v>1</v>
      </c>
      <c r="D259" s="9">
        <v>72</v>
      </c>
      <c r="E259" s="3" t="s">
        <v>16</v>
      </c>
      <c r="F259" s="3">
        <f t="shared" si="33"/>
        <v>1</v>
      </c>
      <c r="G259" s="11"/>
      <c r="H259" s="3" t="s">
        <v>17</v>
      </c>
      <c r="I259" s="3">
        <f t="shared" ref="I259:I322" si="34">IF(OR(H259="HM1",H259="SM1"),1, IF(OR(H259="HM2",H259="SM2"),2,IF(OR(H259="HM3",H259="SM3"),3 )))</f>
        <v>1</v>
      </c>
      <c r="J259" s="3" t="s">
        <v>25</v>
      </c>
      <c r="K259" s="3">
        <v>8</v>
      </c>
      <c r="L259" s="6" t="s">
        <v>166</v>
      </c>
      <c r="M259" s="3">
        <v>83</v>
      </c>
      <c r="N259" s="3">
        <f t="shared" ref="N259:N322" si="35">M259/100</f>
        <v>0.83</v>
      </c>
      <c r="O259" s="3">
        <v>88</v>
      </c>
      <c r="P259" s="3">
        <v>0.88</v>
      </c>
      <c r="Q259" s="17">
        <v>0.35972222222222222</v>
      </c>
      <c r="R259" s="21">
        <v>0.31237034347306641</v>
      </c>
      <c r="S259" s="3">
        <v>9</v>
      </c>
      <c r="T259" s="3">
        <v>455.71</v>
      </c>
      <c r="U259" s="3">
        <v>467.54</v>
      </c>
      <c r="V259" s="26">
        <v>-0.51249864843717097</v>
      </c>
      <c r="W259" s="18">
        <v>-0.25966623145669798</v>
      </c>
      <c r="X259" s="18">
        <v>-3.5484842470021601E-2</v>
      </c>
      <c r="Y259" s="18">
        <v>-9.0827570988020398E-2</v>
      </c>
      <c r="Z259" s="18">
        <v>0.26222032260801298</v>
      </c>
      <c r="AA259" s="18">
        <v>9.1563197683530106E-2</v>
      </c>
      <c r="AB259" s="18">
        <v>-0.24349087451092299</v>
      </c>
      <c r="AC259" s="18">
        <v>0.90154690496456702</v>
      </c>
      <c r="AD259" s="18">
        <v>-1.47628406591398</v>
      </c>
      <c r="AE259" s="21">
        <v>2.3000879300480399</v>
      </c>
      <c r="AF259" s="3">
        <v>1.52284</v>
      </c>
      <c r="AG259" s="3">
        <v>0.37078</v>
      </c>
      <c r="AH259" s="3">
        <v>3.1371199999999999</v>
      </c>
      <c r="AI259" s="3">
        <v>29.441600000000001</v>
      </c>
      <c r="AJ259" s="3">
        <v>0.611097</v>
      </c>
      <c r="AK259" s="3">
        <v>1.9246099999999999</v>
      </c>
      <c r="AL259" s="3">
        <v>0</v>
      </c>
      <c r="AM259" s="3">
        <v>0</v>
      </c>
      <c r="AN259" s="3">
        <v>-0.45389099999999999</v>
      </c>
      <c r="AO259" s="3">
        <v>25.685300000000002</v>
      </c>
      <c r="AP259" s="3">
        <v>0.30331799999999998</v>
      </c>
      <c r="AQ259" s="3">
        <v>2.7880699999999998</v>
      </c>
      <c r="AR259" s="3">
        <v>30.8629</v>
      </c>
      <c r="AS259" s="3">
        <v>0.24570400000000001</v>
      </c>
      <c r="AT259" s="3">
        <v>2.6510099999999999</v>
      </c>
      <c r="AU259" s="3">
        <v>36.751300000000001</v>
      </c>
      <c r="AV259" s="3">
        <v>0.118314</v>
      </c>
      <c r="AW259" s="3">
        <v>1.53617</v>
      </c>
      <c r="AX259" s="3">
        <v>0</v>
      </c>
      <c r="AY259" s="3">
        <v>0</v>
      </c>
      <c r="AZ259" s="21">
        <v>-0.51999399999999996</v>
      </c>
      <c r="BA259" s="3">
        <v>11.829000000000001</v>
      </c>
      <c r="BB259" s="3">
        <v>8</v>
      </c>
    </row>
    <row r="260" spans="1:54" s="3" customFormat="1" ht="94.5" customHeight="1" x14ac:dyDescent="0.25">
      <c r="A260" s="2">
        <v>258</v>
      </c>
      <c r="B260" s="3">
        <v>7</v>
      </c>
      <c r="C260" s="2">
        <v>1</v>
      </c>
      <c r="D260" s="9">
        <v>72</v>
      </c>
      <c r="E260" s="3" t="s">
        <v>16</v>
      </c>
      <c r="F260" s="3">
        <f t="shared" si="33"/>
        <v>1</v>
      </c>
      <c r="G260" s="11"/>
      <c r="H260" s="3" t="s">
        <v>17</v>
      </c>
      <c r="I260" s="3">
        <f t="shared" si="34"/>
        <v>1</v>
      </c>
      <c r="J260" s="3" t="s">
        <v>98</v>
      </c>
      <c r="K260" s="3">
        <v>9</v>
      </c>
      <c r="L260" s="6" t="s">
        <v>224</v>
      </c>
      <c r="M260" s="3">
        <v>83</v>
      </c>
      <c r="N260" s="3">
        <f t="shared" si="35"/>
        <v>0.83</v>
      </c>
      <c r="O260" s="3">
        <v>88</v>
      </c>
      <c r="P260" s="3">
        <v>0.88</v>
      </c>
      <c r="Q260" s="17">
        <v>0.34972222222222221</v>
      </c>
      <c r="R260" s="21">
        <v>0.34157747049559389</v>
      </c>
      <c r="S260" s="3">
        <v>11</v>
      </c>
      <c r="T260" s="3">
        <v>478.4</v>
      </c>
      <c r="U260" s="3">
        <v>527.66</v>
      </c>
      <c r="V260" s="26">
        <v>0.34476178808241498</v>
      </c>
      <c r="W260" s="18">
        <v>0.48839274345596601</v>
      </c>
      <c r="X260" s="18">
        <v>0.52369601791367903</v>
      </c>
      <c r="Y260" s="18">
        <v>0.72919662938011998</v>
      </c>
      <c r="Z260" s="18">
        <v>0.97512957389898403</v>
      </c>
      <c r="AA260" s="18">
        <v>1.44206972140357</v>
      </c>
      <c r="AB260" s="18">
        <v>0.38935877748689401</v>
      </c>
      <c r="AC260" s="18">
        <v>-0.26946958060357201</v>
      </c>
      <c r="AD260" s="18">
        <v>-0.95750002480495799</v>
      </c>
      <c r="AE260" s="21">
        <v>-0.77292339611014005</v>
      </c>
      <c r="AF260" s="3">
        <v>0.87697899999999995</v>
      </c>
      <c r="AG260" s="3">
        <v>0.155643</v>
      </c>
      <c r="AH260" s="3">
        <v>2.6603599999999998</v>
      </c>
      <c r="AI260" s="3">
        <v>21.461600000000001</v>
      </c>
      <c r="AJ260" s="3">
        <v>0.20937800000000001</v>
      </c>
      <c r="AK260" s="3">
        <v>0.60471699999999995</v>
      </c>
      <c r="AL260" s="3">
        <v>0</v>
      </c>
      <c r="AM260" s="3">
        <v>0</v>
      </c>
      <c r="AN260" s="3">
        <v>-0.45389099999999999</v>
      </c>
      <c r="AO260" s="3">
        <v>6.8453099999999996</v>
      </c>
      <c r="AP260" s="3">
        <v>0.145483</v>
      </c>
      <c r="AQ260" s="3">
        <v>2.3828800000000001</v>
      </c>
      <c r="AR260" s="3">
        <v>11.3276</v>
      </c>
      <c r="AS260" s="3">
        <v>6.61992E-2</v>
      </c>
      <c r="AT260" s="3">
        <v>2.3544499999999999</v>
      </c>
      <c r="AU260" s="3">
        <v>10.134</v>
      </c>
      <c r="AV260" s="3">
        <v>3.6331799999999997E-2</v>
      </c>
      <c r="AW260" s="3">
        <v>1.3480399999999999</v>
      </c>
      <c r="AX260" s="3">
        <v>0.58465299999999998</v>
      </c>
      <c r="AY260" s="3">
        <v>0.22594700000000001</v>
      </c>
      <c r="AZ260" s="21">
        <v>2.3403499999999999</v>
      </c>
      <c r="BA260" s="3">
        <v>49.268000000000001</v>
      </c>
      <c r="BB260" s="3">
        <v>9</v>
      </c>
    </row>
    <row r="261" spans="1:54" s="3" customFormat="1" ht="110.25" customHeight="1" x14ac:dyDescent="0.25">
      <c r="A261" s="2">
        <v>259</v>
      </c>
      <c r="B261" s="3">
        <v>7</v>
      </c>
      <c r="C261" s="2">
        <v>1</v>
      </c>
      <c r="D261" s="9">
        <v>72</v>
      </c>
      <c r="E261" s="3" t="s">
        <v>16</v>
      </c>
      <c r="F261" s="3">
        <f>IF(E262="Happy", 1,2)</f>
        <v>1</v>
      </c>
      <c r="G261" s="11" t="s">
        <v>26</v>
      </c>
      <c r="H261" s="3" t="s">
        <v>26</v>
      </c>
      <c r="I261" s="3">
        <f t="shared" si="34"/>
        <v>2</v>
      </c>
      <c r="J261" s="3" t="s">
        <v>27</v>
      </c>
      <c r="K261" s="3">
        <v>1</v>
      </c>
      <c r="L261" s="6" t="s">
        <v>184</v>
      </c>
      <c r="M261" s="3">
        <v>93</v>
      </c>
      <c r="N261" s="3">
        <f t="shared" si="35"/>
        <v>0.93</v>
      </c>
      <c r="O261" s="3">
        <v>97</v>
      </c>
      <c r="P261" s="3">
        <v>0.97</v>
      </c>
      <c r="Q261" s="17">
        <v>0.16666666666666671</v>
      </c>
      <c r="R261" s="21">
        <v>0.23481671339342289</v>
      </c>
      <c r="S261" s="3">
        <v>2</v>
      </c>
      <c r="T261" s="3">
        <v>45.38</v>
      </c>
      <c r="U261" s="3">
        <v>124.74</v>
      </c>
      <c r="V261" s="26">
        <v>-0.650366587160633</v>
      </c>
      <c r="W261" s="18">
        <v>-0.80764622853232604</v>
      </c>
      <c r="X261" s="18">
        <v>-1.0345293085373799</v>
      </c>
      <c r="Y261" s="18">
        <v>-0.62377426668123503</v>
      </c>
      <c r="Z261" s="18">
        <v>-0.18453451888894201</v>
      </c>
      <c r="AA261" s="18">
        <v>-0.53206824377527795</v>
      </c>
      <c r="AB261" s="18">
        <v>-1.08737421240675E-2</v>
      </c>
      <c r="AC261" s="18">
        <v>-1.14824167337177</v>
      </c>
      <c r="AD261" s="18">
        <v>0.71793328951985202</v>
      </c>
      <c r="AE261" s="21">
        <v>-0.13643709836524101</v>
      </c>
      <c r="AF261" s="3">
        <v>0.75623899999999999</v>
      </c>
      <c r="AG261" s="3">
        <v>0.34907700000000003</v>
      </c>
      <c r="AH261" s="3">
        <v>3.5448</v>
      </c>
      <c r="AI261" s="3">
        <v>21.779699999999998</v>
      </c>
      <c r="AJ261" s="3">
        <v>0.30712899999999999</v>
      </c>
      <c r="AK261" s="3">
        <v>1.5151600000000001</v>
      </c>
      <c r="AL261" s="3">
        <v>0</v>
      </c>
      <c r="AM261" s="3">
        <v>8.0003599999999998E-3</v>
      </c>
      <c r="AN261" s="3">
        <v>-0.467839</v>
      </c>
      <c r="AO261" s="3">
        <v>0.51424300000000001</v>
      </c>
      <c r="AP261" s="3">
        <v>0.18658</v>
      </c>
      <c r="AQ261" s="3">
        <v>2.11341</v>
      </c>
      <c r="AR261" s="3">
        <v>0</v>
      </c>
      <c r="AS261" s="3">
        <v>0.163247</v>
      </c>
      <c r="AT261" s="3">
        <v>1.6484700000000001</v>
      </c>
      <c r="AU261" s="3">
        <v>2.5258400000000001</v>
      </c>
      <c r="AV261" s="3">
        <v>0.167321</v>
      </c>
      <c r="AW261" s="3">
        <v>2.0432199999999998</v>
      </c>
      <c r="AX261" s="3">
        <v>4.4920600000000004</v>
      </c>
      <c r="AY261" s="3">
        <v>0.15294099999999999</v>
      </c>
      <c r="AZ261" s="21">
        <v>2.2307199999999998</v>
      </c>
      <c r="BA261" s="3">
        <v>79.358999999999995</v>
      </c>
      <c r="BB261" s="3">
        <v>1</v>
      </c>
    </row>
    <row r="262" spans="1:54" s="3" customFormat="1" ht="94.5" customHeight="1" x14ac:dyDescent="0.25">
      <c r="A262" s="2">
        <v>260</v>
      </c>
      <c r="B262" s="3">
        <v>7</v>
      </c>
      <c r="C262" s="2">
        <v>1</v>
      </c>
      <c r="D262" s="9">
        <v>72</v>
      </c>
      <c r="E262" s="3" t="s">
        <v>16</v>
      </c>
      <c r="F262" s="3">
        <f>IF(E263="Happy", 1,2)</f>
        <v>1</v>
      </c>
      <c r="G262" s="11"/>
      <c r="H262" s="3" t="s">
        <v>26</v>
      </c>
      <c r="I262" s="3">
        <f t="shared" si="34"/>
        <v>2</v>
      </c>
      <c r="J262" s="3" t="s">
        <v>28</v>
      </c>
      <c r="K262" s="3">
        <v>2</v>
      </c>
      <c r="L262" s="6" t="s">
        <v>182</v>
      </c>
      <c r="M262" s="3">
        <v>93</v>
      </c>
      <c r="N262" s="3">
        <f t="shared" si="35"/>
        <v>0.93</v>
      </c>
      <c r="O262" s="3">
        <v>97</v>
      </c>
      <c r="P262" s="3">
        <v>0.97</v>
      </c>
      <c r="Q262" s="17">
        <v>0.14814814814814811</v>
      </c>
      <c r="R262" s="21">
        <v>0.25268618609250348</v>
      </c>
      <c r="S262" s="3">
        <v>4</v>
      </c>
      <c r="T262" s="3">
        <v>146.01</v>
      </c>
      <c r="U262" s="3">
        <v>204.28</v>
      </c>
      <c r="V262" s="26">
        <v>-0.202876415440396</v>
      </c>
      <c r="W262" s="18">
        <v>8.92166974771927E-2</v>
      </c>
      <c r="X262" s="18">
        <v>-0.51278599256137103</v>
      </c>
      <c r="Y262" s="18">
        <v>-0.65229084455959896</v>
      </c>
      <c r="Z262" s="18">
        <v>-2.0728466953528198E-2</v>
      </c>
      <c r="AA262" s="18">
        <v>-0.46439532124788702</v>
      </c>
      <c r="AB262" s="18">
        <v>9.0024635540584402E-3</v>
      </c>
      <c r="AC262" s="18">
        <v>0.21069475314795999</v>
      </c>
      <c r="AD262" s="18">
        <v>-0.32768741422058101</v>
      </c>
      <c r="AE262" s="21">
        <v>1.7675806657737402E-2</v>
      </c>
      <c r="AF262" s="3">
        <v>0</v>
      </c>
      <c r="AG262" s="3">
        <v>0.29683300000000001</v>
      </c>
      <c r="AH262" s="3">
        <v>-0.25479499999999999</v>
      </c>
      <c r="AI262" s="3">
        <v>12.1936</v>
      </c>
      <c r="AJ262" s="3">
        <v>0.26071100000000003</v>
      </c>
      <c r="AK262" s="3">
        <v>0.84442700000000004</v>
      </c>
      <c r="AL262" s="3">
        <v>0</v>
      </c>
      <c r="AM262" s="3">
        <v>0</v>
      </c>
      <c r="AN262" s="3">
        <v>-0.47451100000000002</v>
      </c>
      <c r="AO262" s="3">
        <v>1.58599</v>
      </c>
      <c r="AP262" s="3">
        <v>0.13721700000000001</v>
      </c>
      <c r="AQ262" s="3">
        <v>1.9023099999999999</v>
      </c>
      <c r="AR262" s="3">
        <v>6.6941300000000004</v>
      </c>
      <c r="AS262" s="3">
        <v>0.35931299999999999</v>
      </c>
      <c r="AT262" s="3">
        <v>3.4478599999999999</v>
      </c>
      <c r="AU262" s="3">
        <v>1.66838</v>
      </c>
      <c r="AV262" s="3">
        <v>0.157861</v>
      </c>
      <c r="AW262" s="3">
        <v>2.7382599999999999</v>
      </c>
      <c r="AX262" s="3">
        <v>0.32955699999999999</v>
      </c>
      <c r="AY262" s="3">
        <v>0.34509400000000001</v>
      </c>
      <c r="AZ262" s="21">
        <v>2.5221399999999998</v>
      </c>
      <c r="BA262" s="3">
        <v>58.274999999999999</v>
      </c>
      <c r="BB262" s="3">
        <v>2</v>
      </c>
    </row>
    <row r="263" spans="1:54" s="3" customFormat="1" ht="63" customHeight="1" x14ac:dyDescent="0.25">
      <c r="A263" s="2">
        <v>261</v>
      </c>
      <c r="B263" s="3">
        <v>7</v>
      </c>
      <c r="C263" s="2">
        <v>1</v>
      </c>
      <c r="D263" s="9">
        <v>72</v>
      </c>
      <c r="E263" s="3" t="s">
        <v>16</v>
      </c>
      <c r="F263" s="3">
        <f t="shared" ref="F263:F270" si="36">IF(E263="Happy", 1,2)</f>
        <v>1</v>
      </c>
      <c r="G263" s="11"/>
      <c r="H263" s="3" t="s">
        <v>26</v>
      </c>
      <c r="I263" s="3">
        <f t="shared" si="34"/>
        <v>2</v>
      </c>
      <c r="J263" s="3" t="s">
        <v>29</v>
      </c>
      <c r="K263" s="3">
        <v>3</v>
      </c>
      <c r="L263" s="6" t="s">
        <v>163</v>
      </c>
      <c r="M263" s="3">
        <v>93</v>
      </c>
      <c r="N263" s="3">
        <f t="shared" si="35"/>
        <v>0.93</v>
      </c>
      <c r="O263" s="3">
        <v>97</v>
      </c>
      <c r="P263" s="3">
        <v>0.97</v>
      </c>
      <c r="Q263" s="17">
        <v>0.24953125000000001</v>
      </c>
      <c r="R263" s="21">
        <v>5.4875272873277502E-2</v>
      </c>
      <c r="S263" s="3">
        <v>5</v>
      </c>
      <c r="T263" s="3">
        <v>204.28</v>
      </c>
      <c r="U263" s="3">
        <v>240.08</v>
      </c>
      <c r="V263" s="26">
        <v>0.73672142917616201</v>
      </c>
      <c r="W263" s="18">
        <v>1.3787765532184699</v>
      </c>
      <c r="X263" s="18">
        <v>1.5929813600424302E-2</v>
      </c>
      <c r="Y263" s="18">
        <v>-0.66636327125934902</v>
      </c>
      <c r="Z263" s="18">
        <v>0.22181645244266501</v>
      </c>
      <c r="AA263" s="18">
        <v>0.63224549528106599</v>
      </c>
      <c r="AB263" s="18">
        <v>1.4206499063862199</v>
      </c>
      <c r="AC263" s="18">
        <v>0.512793898728366</v>
      </c>
      <c r="AD263" s="18">
        <v>0.59397172184187297</v>
      </c>
      <c r="AE263" s="21">
        <v>-1.63133227708813</v>
      </c>
      <c r="AF263" s="3">
        <v>0.234768</v>
      </c>
      <c r="AG263" s="3">
        <v>0.21404300000000001</v>
      </c>
      <c r="AH263" s="3">
        <v>3.19421</v>
      </c>
      <c r="AI263" s="3">
        <v>21.196200000000001</v>
      </c>
      <c r="AJ263" s="3">
        <v>0.41722399999999998</v>
      </c>
      <c r="AK263" s="3">
        <v>1.30311</v>
      </c>
      <c r="AL263" s="3">
        <v>0.50307400000000002</v>
      </c>
      <c r="AM263" s="3">
        <v>0.28849200000000003</v>
      </c>
      <c r="AN263" s="3">
        <v>6.8495799999999996</v>
      </c>
      <c r="AO263" s="3">
        <v>0.87199599999999999</v>
      </c>
      <c r="AP263" s="3">
        <v>0.760077</v>
      </c>
      <c r="AQ263" s="3">
        <v>3.98271</v>
      </c>
      <c r="AR263" s="3">
        <v>0.368921</v>
      </c>
      <c r="AS263" s="3">
        <v>0.468667</v>
      </c>
      <c r="AT263" s="3">
        <v>3.4471799999999999</v>
      </c>
      <c r="AU263" s="3">
        <v>0.53661300000000001</v>
      </c>
      <c r="AV263" s="3">
        <v>0.85483100000000001</v>
      </c>
      <c r="AW263" s="3">
        <v>2.9266899999999998</v>
      </c>
      <c r="AX263" s="3">
        <v>1.24092</v>
      </c>
      <c r="AY263" s="3">
        <v>0.73010699999999995</v>
      </c>
      <c r="AZ263" s="21">
        <v>4.1845600000000003</v>
      </c>
      <c r="BA263" s="3">
        <v>35.801000000000002</v>
      </c>
      <c r="BB263" s="3">
        <v>3</v>
      </c>
    </row>
    <row r="264" spans="1:54" s="3" customFormat="1" ht="31.5" customHeight="1" x14ac:dyDescent="0.25">
      <c r="A264" s="2">
        <v>262</v>
      </c>
      <c r="B264" s="3">
        <v>7</v>
      </c>
      <c r="C264" s="2">
        <v>1</v>
      </c>
      <c r="D264" s="9">
        <v>72</v>
      </c>
      <c r="E264" s="3" t="s">
        <v>16</v>
      </c>
      <c r="F264" s="3">
        <f t="shared" si="36"/>
        <v>1</v>
      </c>
      <c r="G264" s="11"/>
      <c r="H264" s="3" t="s">
        <v>26</v>
      </c>
      <c r="I264" s="3">
        <f t="shared" si="34"/>
        <v>2</v>
      </c>
      <c r="J264" s="3" t="s">
        <v>30</v>
      </c>
      <c r="K264" s="3">
        <v>4</v>
      </c>
      <c r="L264" s="6" t="s">
        <v>174</v>
      </c>
      <c r="M264" s="3">
        <v>93</v>
      </c>
      <c r="N264" s="3">
        <f t="shared" si="35"/>
        <v>0.93</v>
      </c>
      <c r="O264" s="3">
        <v>97</v>
      </c>
      <c r="P264" s="3">
        <v>0.97</v>
      </c>
      <c r="Q264" s="17">
        <v>0.2</v>
      </c>
      <c r="R264" s="21">
        <v>0.229128784747792</v>
      </c>
      <c r="S264" s="3">
        <v>7</v>
      </c>
      <c r="T264" s="3">
        <v>278.16000000000003</v>
      </c>
      <c r="U264" s="3">
        <v>295.25</v>
      </c>
      <c r="V264" s="26">
        <v>-0.47834646268275899</v>
      </c>
      <c r="W264" s="18">
        <v>-0.36821188504624502</v>
      </c>
      <c r="X264" s="18">
        <v>2.4616489435151401</v>
      </c>
      <c r="Y264" s="18">
        <v>0.41115978596574398</v>
      </c>
      <c r="Z264" s="18">
        <v>9.8657667480826106E-2</v>
      </c>
      <c r="AA264" s="18">
        <v>0.155915202529644</v>
      </c>
      <c r="AB264" s="18">
        <v>-2.0530119026537799</v>
      </c>
      <c r="AC264" s="18">
        <v>1.44355830789004</v>
      </c>
      <c r="AD264" s="18">
        <v>-1.0285095055023801</v>
      </c>
      <c r="AE264" s="21">
        <v>0.29353790664886797</v>
      </c>
      <c r="AF264" s="3">
        <v>0</v>
      </c>
      <c r="AG264" s="3">
        <v>0.16622600000000001</v>
      </c>
      <c r="AH264" s="3">
        <v>-0.53856099999999996</v>
      </c>
      <c r="AI264" s="3">
        <v>13.7705</v>
      </c>
      <c r="AJ264" s="3">
        <v>8.0976199999999998E-2</v>
      </c>
      <c r="AK264" s="3">
        <v>0.39517600000000003</v>
      </c>
      <c r="AL264" s="3">
        <v>0</v>
      </c>
      <c r="AM264" s="3">
        <v>8.9015800000000006E-2</v>
      </c>
      <c r="AN264" s="3">
        <v>-0.21773000000000001</v>
      </c>
      <c r="AO264" s="3">
        <v>17.072600000000001</v>
      </c>
      <c r="AP264" s="3">
        <v>0.60859399999999997</v>
      </c>
      <c r="AQ264" s="3">
        <v>3.73584</v>
      </c>
      <c r="AR264" s="3">
        <v>24.941500000000001</v>
      </c>
      <c r="AS264" s="3">
        <v>0.216554</v>
      </c>
      <c r="AT264" s="3">
        <v>3.0422899999999999</v>
      </c>
      <c r="AU264" s="3">
        <v>7.0960200000000002</v>
      </c>
      <c r="AV264" s="3">
        <v>0.13728699999999999</v>
      </c>
      <c r="AW264" s="3">
        <v>2.1478100000000002</v>
      </c>
      <c r="AX264" s="3">
        <v>0</v>
      </c>
      <c r="AY264" s="3">
        <v>0.19936799999999999</v>
      </c>
      <c r="AZ264" s="21">
        <v>-0.322718</v>
      </c>
      <c r="BA264" s="3">
        <v>17.091999999999999</v>
      </c>
      <c r="BB264" s="3">
        <v>4</v>
      </c>
    </row>
    <row r="265" spans="1:54" s="3" customFormat="1" ht="94.5" customHeight="1" x14ac:dyDescent="0.25">
      <c r="A265" s="2">
        <v>263</v>
      </c>
      <c r="B265" s="3">
        <v>7</v>
      </c>
      <c r="C265" s="2">
        <v>1</v>
      </c>
      <c r="D265" s="9">
        <v>72</v>
      </c>
      <c r="E265" s="3" t="s">
        <v>16</v>
      </c>
      <c r="F265" s="3">
        <f t="shared" si="36"/>
        <v>1</v>
      </c>
      <c r="G265" s="11"/>
      <c r="H265" s="3" t="s">
        <v>26</v>
      </c>
      <c r="I265" s="3">
        <f t="shared" si="34"/>
        <v>2</v>
      </c>
      <c r="J265" s="3" t="s">
        <v>31</v>
      </c>
      <c r="K265" s="3">
        <v>5</v>
      </c>
      <c r="L265" s="6" t="s">
        <v>191</v>
      </c>
      <c r="M265" s="3">
        <v>93</v>
      </c>
      <c r="N265" s="3">
        <f t="shared" si="35"/>
        <v>0.93</v>
      </c>
      <c r="O265" s="3">
        <v>97</v>
      </c>
      <c r="P265" s="3">
        <v>0.97</v>
      </c>
      <c r="Q265" s="17">
        <v>0.40388888888888891</v>
      </c>
      <c r="R265" s="21">
        <v>0.37448413591974172</v>
      </c>
      <c r="S265" s="3">
        <v>8</v>
      </c>
      <c r="T265" s="3">
        <v>295.25</v>
      </c>
      <c r="U265" s="3">
        <v>368.78</v>
      </c>
      <c r="V265" s="26">
        <v>-1.95522912390764</v>
      </c>
      <c r="W265" s="18">
        <v>-0.59520411498628201</v>
      </c>
      <c r="X265" s="18">
        <v>-1.1331677822716699</v>
      </c>
      <c r="Y265" s="18">
        <v>-1.6299262239649499</v>
      </c>
      <c r="Z265" s="18">
        <v>-0.65307337472203197</v>
      </c>
      <c r="AA265" s="18">
        <v>-0.585867110211995</v>
      </c>
      <c r="AB265" s="18">
        <v>0.128259697622813</v>
      </c>
      <c r="AC265" s="18">
        <v>1.9036802521020999E-2</v>
      </c>
      <c r="AD265" s="18">
        <v>0.41144563400106998</v>
      </c>
      <c r="AE265" s="21">
        <v>0.60638710384551398</v>
      </c>
      <c r="AF265" s="3">
        <v>0</v>
      </c>
      <c r="AG265" s="3">
        <v>0.277366</v>
      </c>
      <c r="AH265" s="3">
        <v>-0.37149100000000002</v>
      </c>
      <c r="AI265" s="3">
        <v>40.832700000000003</v>
      </c>
      <c r="AJ265" s="3">
        <v>0.19278300000000001</v>
      </c>
      <c r="AK265" s="3">
        <v>0.57956200000000002</v>
      </c>
      <c r="AL265" s="3">
        <v>0</v>
      </c>
      <c r="AM265" s="3">
        <v>0</v>
      </c>
      <c r="AN265" s="3">
        <v>-0.47451100000000002</v>
      </c>
      <c r="AO265" s="3">
        <v>9.7959199999999996E-2</v>
      </c>
      <c r="AP265" s="3">
        <v>6.1860100000000001E-2</v>
      </c>
      <c r="AQ265" s="3">
        <v>1.86429</v>
      </c>
      <c r="AR265" s="3">
        <v>0.42448999999999998</v>
      </c>
      <c r="AS265" s="3">
        <v>9.0672100000000005E-2</v>
      </c>
      <c r="AT265" s="3">
        <v>2.3339099999999999</v>
      </c>
      <c r="AU265" s="3">
        <v>0.52244900000000005</v>
      </c>
      <c r="AV265" s="3">
        <v>7.7979300000000001E-2</v>
      </c>
      <c r="AW265" s="3">
        <v>1.90707</v>
      </c>
      <c r="AX265" s="3">
        <v>15.395899999999999</v>
      </c>
      <c r="AY265" s="3">
        <v>0.11482100000000001</v>
      </c>
      <c r="AZ265" s="21">
        <v>1.8326800000000001</v>
      </c>
      <c r="BA265" s="3">
        <v>73.528000000000006</v>
      </c>
      <c r="BB265" s="3">
        <v>5</v>
      </c>
    </row>
    <row r="266" spans="1:54" s="3" customFormat="1" ht="31.5" customHeight="1" x14ac:dyDescent="0.25">
      <c r="A266" s="2">
        <v>264</v>
      </c>
      <c r="B266" s="3">
        <v>7</v>
      </c>
      <c r="C266" s="2">
        <v>1</v>
      </c>
      <c r="D266" s="9">
        <v>72</v>
      </c>
      <c r="E266" s="3" t="s">
        <v>16</v>
      </c>
      <c r="F266" s="3">
        <f t="shared" si="36"/>
        <v>1</v>
      </c>
      <c r="G266" s="11"/>
      <c r="H266" s="3" t="s">
        <v>26</v>
      </c>
      <c r="I266" s="3">
        <f t="shared" si="34"/>
        <v>2</v>
      </c>
      <c r="J266" s="3" t="s">
        <v>32</v>
      </c>
      <c r="K266" s="3">
        <v>6</v>
      </c>
      <c r="L266" s="6" t="s">
        <v>157</v>
      </c>
      <c r="M266" s="3">
        <v>93</v>
      </c>
      <c r="N266" s="3">
        <f t="shared" si="35"/>
        <v>0.93</v>
      </c>
      <c r="O266" s="3">
        <v>97</v>
      </c>
      <c r="P266" s="3">
        <v>0.97</v>
      </c>
      <c r="Q266" s="17">
        <v>-8.6666666666666656E-2</v>
      </c>
      <c r="R266" s="21">
        <v>0.19756855350316591</v>
      </c>
      <c r="S266" s="3">
        <v>9</v>
      </c>
      <c r="T266" s="3">
        <v>368.78</v>
      </c>
      <c r="U266" s="3">
        <v>382.34</v>
      </c>
      <c r="V266" s="26">
        <v>0.27160251757449999</v>
      </c>
      <c r="W266" s="18">
        <v>1.8324262711569601</v>
      </c>
      <c r="X266" s="18">
        <v>0.26302862313388198</v>
      </c>
      <c r="Y266" s="18">
        <v>-1.57799100391832</v>
      </c>
      <c r="Z266" s="18">
        <v>-0.60999213966620902</v>
      </c>
      <c r="AA266" s="18">
        <v>-0.78740991438026997</v>
      </c>
      <c r="AB266" s="18">
        <v>7.3174213314863706E-2</v>
      </c>
      <c r="AC266" s="18">
        <v>0.448907915186052</v>
      </c>
      <c r="AD266" s="18">
        <v>0.335799795457421</v>
      </c>
      <c r="AE266" s="21">
        <v>-0.80374597711473605</v>
      </c>
      <c r="AF266" s="3">
        <v>0.53175799999999995</v>
      </c>
      <c r="AG266" s="3">
        <v>0.13953499999999999</v>
      </c>
      <c r="AH266" s="3">
        <v>2.98407</v>
      </c>
      <c r="AI266" s="3">
        <v>14.712</v>
      </c>
      <c r="AJ266" s="3">
        <v>6.3417799999999996E-2</v>
      </c>
      <c r="AK266" s="3">
        <v>0.37851299999999999</v>
      </c>
      <c r="AL266" s="3">
        <v>0</v>
      </c>
      <c r="AM266" s="3">
        <v>0</v>
      </c>
      <c r="AN266" s="3">
        <v>-0.47451100000000002</v>
      </c>
      <c r="AO266" s="3">
        <v>0</v>
      </c>
      <c r="AP266" s="3">
        <v>0.104794</v>
      </c>
      <c r="AQ266" s="3">
        <v>-0.89765300000000003</v>
      </c>
      <c r="AR266" s="3">
        <v>3.3677999999999999</v>
      </c>
      <c r="AS266" s="3">
        <v>6.6023499999999999E-2</v>
      </c>
      <c r="AT266" s="3">
        <v>2.1742400000000002</v>
      </c>
      <c r="AU266" s="3">
        <v>0</v>
      </c>
      <c r="AV266" s="3">
        <v>0.150446</v>
      </c>
      <c r="AW266" s="3">
        <v>-0.60425700000000004</v>
      </c>
      <c r="AX266" s="3">
        <v>0</v>
      </c>
      <c r="AY266" s="3">
        <v>3.0483300000000001E-2</v>
      </c>
      <c r="AZ266" s="21">
        <v>-0.501475</v>
      </c>
      <c r="BA266" s="3">
        <v>13.557</v>
      </c>
      <c r="BB266" s="3">
        <v>6</v>
      </c>
    </row>
    <row r="267" spans="1:54" s="3" customFormat="1" ht="63" customHeight="1" x14ac:dyDescent="0.25">
      <c r="A267" s="2">
        <v>265</v>
      </c>
      <c r="B267" s="3">
        <v>7</v>
      </c>
      <c r="C267" s="2">
        <v>1</v>
      </c>
      <c r="D267" s="9">
        <v>72</v>
      </c>
      <c r="E267" s="3" t="s">
        <v>16</v>
      </c>
      <c r="F267" s="3">
        <f t="shared" si="36"/>
        <v>1</v>
      </c>
      <c r="G267" s="11" t="s">
        <v>38</v>
      </c>
      <c r="H267" s="3" t="s">
        <v>38</v>
      </c>
      <c r="I267" s="3">
        <f t="shared" si="34"/>
        <v>3</v>
      </c>
      <c r="J267" s="3" t="s">
        <v>39</v>
      </c>
      <c r="K267" s="3">
        <v>1</v>
      </c>
      <c r="L267" s="6" t="s">
        <v>168</v>
      </c>
      <c r="M267" s="3">
        <v>90</v>
      </c>
      <c r="N267" s="3">
        <f t="shared" si="35"/>
        <v>0.9</v>
      </c>
      <c r="O267" s="3">
        <v>92</v>
      </c>
      <c r="P267" s="3">
        <v>0.92</v>
      </c>
      <c r="Q267" s="17">
        <v>0.15925925925925929</v>
      </c>
      <c r="R267" s="21">
        <v>8.4131975493337369E-2</v>
      </c>
      <c r="S267" s="3">
        <v>2</v>
      </c>
      <c r="T267" s="3">
        <v>39.53</v>
      </c>
      <c r="U267" s="3">
        <v>80.86</v>
      </c>
      <c r="V267" s="26">
        <v>-1.06798583852624</v>
      </c>
      <c r="W267" s="18">
        <v>0.81383629776947197</v>
      </c>
      <c r="X267" s="18">
        <v>-0.830192657378377</v>
      </c>
      <c r="Y267" s="18">
        <v>-1.6705503991548001</v>
      </c>
      <c r="Z267" s="18">
        <v>-0.41807375638081301</v>
      </c>
      <c r="AA267" s="18">
        <v>-0.872167113423575</v>
      </c>
      <c r="AB267" s="18">
        <v>-0.44915499831887001</v>
      </c>
      <c r="AC267" s="18">
        <v>-0.13761978478220399</v>
      </c>
      <c r="AD267" s="18">
        <v>0.16547464931720601</v>
      </c>
      <c r="AE267" s="21">
        <v>-0.85768549387277804</v>
      </c>
      <c r="AF267" s="3">
        <v>0.72639200000000004</v>
      </c>
      <c r="AG267" s="3">
        <v>0.34844199999999997</v>
      </c>
      <c r="AH267" s="3">
        <v>3.7239399999999998</v>
      </c>
      <c r="AI267" s="3">
        <v>44.019399999999997</v>
      </c>
      <c r="AJ267" s="3">
        <v>0.36218899999999998</v>
      </c>
      <c r="AK267" s="3">
        <v>1.1767300000000001</v>
      </c>
      <c r="AL267" s="3">
        <v>0.464891</v>
      </c>
      <c r="AM267" s="3">
        <v>0.56981599999999999</v>
      </c>
      <c r="AN267" s="3">
        <v>8.7791300000000003</v>
      </c>
      <c r="AO267" s="3">
        <v>8.6004799999999992</v>
      </c>
      <c r="AP267" s="3">
        <v>0.14327100000000001</v>
      </c>
      <c r="AQ267" s="3">
        <v>3.3197199999999998</v>
      </c>
      <c r="AR267" s="3">
        <v>0.20338999999999999</v>
      </c>
      <c r="AS267" s="3">
        <v>0.107194</v>
      </c>
      <c r="AT267" s="3">
        <v>2.81623</v>
      </c>
      <c r="AU267" s="3">
        <v>25.249400000000001</v>
      </c>
      <c r="AV267" s="3">
        <v>8.6948300000000006E-2</v>
      </c>
      <c r="AW267" s="3">
        <v>1.42665</v>
      </c>
      <c r="AX267" s="3">
        <v>0</v>
      </c>
      <c r="AY267" s="3">
        <v>0.118771</v>
      </c>
      <c r="AZ267" s="21">
        <v>-0.218442</v>
      </c>
      <c r="BA267" s="3">
        <v>41.325000000000003</v>
      </c>
      <c r="BB267" s="3">
        <v>1</v>
      </c>
    </row>
    <row r="268" spans="1:54" s="3" customFormat="1" ht="63" customHeight="1" x14ac:dyDescent="0.25">
      <c r="A268" s="2">
        <v>266</v>
      </c>
      <c r="B268" s="3">
        <v>7</v>
      </c>
      <c r="C268" s="2">
        <v>1</v>
      </c>
      <c r="D268" s="9">
        <v>72</v>
      </c>
      <c r="E268" s="3" t="s">
        <v>16</v>
      </c>
      <c r="F268" s="3">
        <f t="shared" si="36"/>
        <v>1</v>
      </c>
      <c r="G268" s="11"/>
      <c r="H268" s="3" t="s">
        <v>38</v>
      </c>
      <c r="I268" s="3">
        <f t="shared" si="34"/>
        <v>3</v>
      </c>
      <c r="J268" s="3" t="s">
        <v>40</v>
      </c>
      <c r="K268" s="3">
        <v>2</v>
      </c>
      <c r="L268" s="6" t="s">
        <v>190</v>
      </c>
      <c r="M268" s="3">
        <v>90</v>
      </c>
      <c r="N268" s="3">
        <f t="shared" si="35"/>
        <v>0.9</v>
      </c>
      <c r="O268" s="3">
        <v>92</v>
      </c>
      <c r="P268" s="3">
        <v>0.92</v>
      </c>
      <c r="Q268" s="17">
        <v>0.1083333333333333</v>
      </c>
      <c r="R268" s="21">
        <v>0.26156579796805751</v>
      </c>
      <c r="S268" s="3">
        <v>3</v>
      </c>
      <c r="T268" s="3">
        <v>80.86</v>
      </c>
      <c r="U268" s="3">
        <v>123.93</v>
      </c>
      <c r="V268" s="26">
        <v>9.7385796143146797E-2</v>
      </c>
      <c r="W268" s="18">
        <v>0.91494324154613904</v>
      </c>
      <c r="X268" s="18">
        <v>-0.51557223452501399</v>
      </c>
      <c r="Y268" s="18">
        <v>0.49453227622464901</v>
      </c>
      <c r="Z268" s="18">
        <v>1.5087770759322601</v>
      </c>
      <c r="AA268" s="18">
        <v>0.72515739218617703</v>
      </c>
      <c r="AB268" s="18">
        <v>-1.3675230685853199</v>
      </c>
      <c r="AC268" s="18">
        <v>-0.83492849876532205</v>
      </c>
      <c r="AD268" s="18">
        <v>1.30406652881612</v>
      </c>
      <c r="AE268" s="21">
        <v>-1.7099298586498499</v>
      </c>
      <c r="AF268" s="3">
        <v>12.262</v>
      </c>
      <c r="AG268" s="3">
        <v>0.26926899999999998</v>
      </c>
      <c r="AH268" s="3">
        <v>4.0354099999999997</v>
      </c>
      <c r="AI268" s="3">
        <v>36.228499999999997</v>
      </c>
      <c r="AJ268" s="3">
        <v>8.7532299999999993E-2</v>
      </c>
      <c r="AK268" s="3">
        <v>0.31686599999999998</v>
      </c>
      <c r="AL268" s="3">
        <v>0</v>
      </c>
      <c r="AM268" s="3">
        <v>0.05</v>
      </c>
      <c r="AN268" s="3">
        <v>-0.26291300000000001</v>
      </c>
      <c r="AO268" s="3">
        <v>0.33441700000000002</v>
      </c>
      <c r="AP268" s="3">
        <v>0.13983499999999999</v>
      </c>
      <c r="AQ268" s="3">
        <v>2.5907</v>
      </c>
      <c r="AR268" s="3">
        <v>1.5884799999999999</v>
      </c>
      <c r="AS268" s="3">
        <v>0.15520400000000001</v>
      </c>
      <c r="AT268" s="3">
        <v>3.0027499999999998</v>
      </c>
      <c r="AU268" s="3">
        <v>3.4556399999999998</v>
      </c>
      <c r="AV268" s="3">
        <v>0.11781700000000001</v>
      </c>
      <c r="AW268" s="3">
        <v>1.36513</v>
      </c>
      <c r="AX268" s="3">
        <v>1.3934</v>
      </c>
      <c r="AY268" s="3">
        <v>0.35765799999999998</v>
      </c>
      <c r="AZ268" s="21">
        <v>4.5372599999999998</v>
      </c>
      <c r="BA268" s="3">
        <v>43.08</v>
      </c>
      <c r="BB268" s="3">
        <v>2</v>
      </c>
    </row>
    <row r="269" spans="1:54" s="3" customFormat="1" ht="47.25" customHeight="1" x14ac:dyDescent="0.25">
      <c r="A269" s="2">
        <v>267</v>
      </c>
      <c r="B269" s="3">
        <v>7</v>
      </c>
      <c r="C269" s="2">
        <v>1</v>
      </c>
      <c r="D269" s="9">
        <v>72</v>
      </c>
      <c r="E269" s="3" t="s">
        <v>16</v>
      </c>
      <c r="F269" s="3">
        <f t="shared" si="36"/>
        <v>1</v>
      </c>
      <c r="G269" s="11"/>
      <c r="H269" s="3" t="s">
        <v>38</v>
      </c>
      <c r="I269" s="3">
        <f t="shared" si="34"/>
        <v>3</v>
      </c>
      <c r="J269" s="3" t="s">
        <v>41</v>
      </c>
      <c r="K269" s="3">
        <v>3</v>
      </c>
      <c r="L269" s="6" t="s">
        <v>175</v>
      </c>
      <c r="M269" s="3">
        <v>90</v>
      </c>
      <c r="N269" s="3">
        <f t="shared" si="35"/>
        <v>0.9</v>
      </c>
      <c r="O269" s="3">
        <v>92</v>
      </c>
      <c r="P269" s="3">
        <v>0.92</v>
      </c>
      <c r="Q269" s="17">
        <v>0.02</v>
      </c>
      <c r="R269" s="21">
        <v>0.44384682042344292</v>
      </c>
      <c r="S269" s="3">
        <v>4</v>
      </c>
      <c r="T269" s="3">
        <v>123.93</v>
      </c>
      <c r="U269" s="3">
        <v>155.58000000000001</v>
      </c>
      <c r="V269" s="26">
        <v>0.71458756688059599</v>
      </c>
      <c r="W269" s="18">
        <v>1.25295821544341</v>
      </c>
      <c r="X269" s="18">
        <v>5.4978512751507898E-2</v>
      </c>
      <c r="Y269" s="18">
        <v>1.30547577860917</v>
      </c>
      <c r="Z269" s="18">
        <v>1.47664869724656</v>
      </c>
      <c r="AA269" s="18">
        <v>1.3534012193134299</v>
      </c>
      <c r="AB269" s="18">
        <v>-0.27538017153297101</v>
      </c>
      <c r="AC269" s="18">
        <v>-1.9695843447641701</v>
      </c>
      <c r="AD269" s="18">
        <v>-0.30206543664934499</v>
      </c>
      <c r="AE269" s="21">
        <v>-1.29228388603758</v>
      </c>
      <c r="AF269" s="3">
        <v>0</v>
      </c>
      <c r="AG269" s="3">
        <v>0.29994500000000002</v>
      </c>
      <c r="AH269" s="3">
        <v>-0.25579299999999999</v>
      </c>
      <c r="AI269" s="3">
        <v>11.157500000000001</v>
      </c>
      <c r="AJ269" s="3">
        <v>0.22140899999999999</v>
      </c>
      <c r="AK269" s="3">
        <v>1.3919299999999999</v>
      </c>
      <c r="AL269" s="3">
        <v>0.64516099999999998</v>
      </c>
      <c r="AM269" s="3">
        <v>0.190329</v>
      </c>
      <c r="AN269" s="3">
        <v>4.65116</v>
      </c>
      <c r="AO269" s="3">
        <v>0.64516099999999998</v>
      </c>
      <c r="AP269" s="3">
        <v>0.11150500000000001</v>
      </c>
      <c r="AQ269" s="3">
        <v>2.2367699999999999</v>
      </c>
      <c r="AR269" s="3">
        <v>0.34155600000000003</v>
      </c>
      <c r="AS269" s="3">
        <v>0.25757400000000003</v>
      </c>
      <c r="AT269" s="3">
        <v>3.2164000000000001</v>
      </c>
      <c r="AU269" s="3">
        <v>2.3149899999999999</v>
      </c>
      <c r="AV269" s="3">
        <v>7.3325799999999997E-2</v>
      </c>
      <c r="AW269" s="3">
        <v>1.3442400000000001</v>
      </c>
      <c r="AX269" s="3">
        <v>0.41745700000000002</v>
      </c>
      <c r="AY269" s="3">
        <v>0.56613400000000003</v>
      </c>
      <c r="AZ269" s="21">
        <v>5.0125400000000004</v>
      </c>
      <c r="BA269" s="3">
        <v>31.645</v>
      </c>
      <c r="BB269" s="3">
        <v>3</v>
      </c>
    </row>
    <row r="270" spans="1:54" s="3" customFormat="1" ht="47.25" customHeight="1" x14ac:dyDescent="0.25">
      <c r="A270" s="2">
        <v>268</v>
      </c>
      <c r="B270" s="3">
        <v>7</v>
      </c>
      <c r="C270" s="2">
        <v>1</v>
      </c>
      <c r="D270" s="9">
        <v>72</v>
      </c>
      <c r="E270" s="3" t="s">
        <v>16</v>
      </c>
      <c r="F270" s="3">
        <f t="shared" si="36"/>
        <v>1</v>
      </c>
      <c r="G270" s="11"/>
      <c r="H270" s="3" t="s">
        <v>38</v>
      </c>
      <c r="I270" s="3">
        <f t="shared" si="34"/>
        <v>3</v>
      </c>
      <c r="J270" s="3" t="s">
        <v>42</v>
      </c>
      <c r="K270" s="3">
        <v>4</v>
      </c>
      <c r="L270" s="6" t="s">
        <v>158</v>
      </c>
      <c r="M270" s="3">
        <v>90</v>
      </c>
      <c r="N270" s="3">
        <f t="shared" si="35"/>
        <v>0.9</v>
      </c>
      <c r="O270" s="3">
        <v>92</v>
      </c>
      <c r="P270" s="3">
        <v>0.92</v>
      </c>
      <c r="Q270" s="17">
        <v>0.26500000000000001</v>
      </c>
      <c r="R270" s="21">
        <v>0.26162950903902249</v>
      </c>
      <c r="S270" s="3">
        <v>5</v>
      </c>
      <c r="T270" s="3">
        <v>155.58000000000001</v>
      </c>
      <c r="U270" s="3">
        <v>178.81</v>
      </c>
      <c r="V270" s="26">
        <v>-1.4230930186297699</v>
      </c>
      <c r="W270" s="18">
        <v>-1.5763848167248</v>
      </c>
      <c r="X270" s="18">
        <v>-1.4330491228429001</v>
      </c>
      <c r="Y270" s="18">
        <v>3.0035988138899801E-2</v>
      </c>
      <c r="Z270" s="18">
        <v>0.47032459364037199</v>
      </c>
      <c r="AA270" s="18">
        <v>0.53966569014408206</v>
      </c>
      <c r="AB270" s="18">
        <v>1.0297657560392499</v>
      </c>
      <c r="AC270" s="18">
        <v>-0.64972711030489305</v>
      </c>
      <c r="AD270" s="18">
        <v>-8.1716429536716706E-2</v>
      </c>
      <c r="AE270" s="21">
        <v>-0.89775484917875203</v>
      </c>
      <c r="AF270" s="3">
        <v>0</v>
      </c>
      <c r="AG270" s="3">
        <v>0.19020200000000001</v>
      </c>
      <c r="AH270" s="3">
        <v>-0.42636200000000002</v>
      </c>
      <c r="AI270" s="3">
        <v>3.97933</v>
      </c>
      <c r="AJ270" s="3">
        <v>9.9576899999999996E-2</v>
      </c>
      <c r="AK270" s="3">
        <v>0.43473899999999999</v>
      </c>
      <c r="AL270" s="3">
        <v>0</v>
      </c>
      <c r="AM270" s="3">
        <v>0</v>
      </c>
      <c r="AN270" s="3">
        <v>-0.39088400000000001</v>
      </c>
      <c r="AO270" s="3">
        <v>0</v>
      </c>
      <c r="AP270" s="3">
        <v>0.105961</v>
      </c>
      <c r="AQ270" s="3">
        <v>0.13455</v>
      </c>
      <c r="AR270" s="3">
        <v>2.7907000000000002</v>
      </c>
      <c r="AS270" s="3">
        <v>0.18173700000000001</v>
      </c>
      <c r="AT270" s="3">
        <v>3.0341399999999998</v>
      </c>
      <c r="AU270" s="3">
        <v>2.6873399999999998</v>
      </c>
      <c r="AV270" s="3">
        <v>0.17308100000000001</v>
      </c>
      <c r="AW270" s="3">
        <v>1.51779</v>
      </c>
      <c r="AX270" s="3">
        <v>0</v>
      </c>
      <c r="AY270" s="3">
        <v>0</v>
      </c>
      <c r="AZ270" s="21">
        <v>-0.60483399999999998</v>
      </c>
      <c r="BA270" s="3">
        <v>23.228999999999999</v>
      </c>
      <c r="BB270" s="3">
        <v>4</v>
      </c>
    </row>
    <row r="271" spans="1:54" s="3" customFormat="1" ht="63" customHeight="1" x14ac:dyDescent="0.25">
      <c r="A271" s="2">
        <v>269</v>
      </c>
      <c r="B271" s="3">
        <v>7</v>
      </c>
      <c r="C271" s="2">
        <v>1</v>
      </c>
      <c r="D271" s="9">
        <v>72</v>
      </c>
      <c r="E271" s="3" t="s">
        <v>16</v>
      </c>
      <c r="F271" s="3">
        <f>IF(E272="Happy", 1,2)</f>
        <v>1</v>
      </c>
      <c r="G271" s="11"/>
      <c r="H271" s="3" t="s">
        <v>38</v>
      </c>
      <c r="I271" s="3">
        <f t="shared" si="34"/>
        <v>3</v>
      </c>
      <c r="J271" s="3" t="s">
        <v>43</v>
      </c>
      <c r="K271" s="3">
        <v>5</v>
      </c>
      <c r="L271" s="6" t="s">
        <v>156</v>
      </c>
      <c r="M271" s="3">
        <v>90</v>
      </c>
      <c r="N271" s="3">
        <f t="shared" si="35"/>
        <v>0.9</v>
      </c>
      <c r="O271" s="3">
        <v>92</v>
      </c>
      <c r="P271" s="3">
        <v>0.92</v>
      </c>
      <c r="Q271" s="17">
        <v>0.39583333333333331</v>
      </c>
      <c r="R271" s="21">
        <v>6.7185481235821243E-2</v>
      </c>
      <c r="S271" s="3">
        <v>6</v>
      </c>
      <c r="T271" s="3">
        <v>178.81</v>
      </c>
      <c r="U271" s="3">
        <v>212.56</v>
      </c>
      <c r="V271" s="26">
        <v>0.188663493751414</v>
      </c>
      <c r="W271" s="18">
        <v>-0.78264472485123604</v>
      </c>
      <c r="X271" s="18">
        <v>-0.19617801983937999</v>
      </c>
      <c r="Y271" s="18">
        <v>0.210216153392695</v>
      </c>
      <c r="Z271" s="18">
        <v>1.69339355497091</v>
      </c>
      <c r="AA271" s="18">
        <v>1.25576623948383</v>
      </c>
      <c r="AB271" s="18">
        <v>1.24696244753736</v>
      </c>
      <c r="AC271" s="18">
        <v>-0.90051357761461104</v>
      </c>
      <c r="AD271" s="18">
        <v>-0.91186850284475696</v>
      </c>
      <c r="AE271" s="21">
        <v>0.35210081055760001</v>
      </c>
      <c r="AF271" s="3">
        <v>0.74733099999999997</v>
      </c>
      <c r="AG271" s="3">
        <v>0.19444400000000001</v>
      </c>
      <c r="AH271" s="3">
        <v>3.4533</v>
      </c>
      <c r="AI271" s="3">
        <v>16.547999999999998</v>
      </c>
      <c r="AJ271" s="3">
        <v>6.7599099999999995E-2</v>
      </c>
      <c r="AK271" s="3">
        <v>0.49279899999999999</v>
      </c>
      <c r="AL271" s="3">
        <v>0</v>
      </c>
      <c r="AM271" s="3">
        <v>0</v>
      </c>
      <c r="AN271" s="3">
        <v>-0.39088400000000001</v>
      </c>
      <c r="AO271" s="3">
        <v>0.782918</v>
      </c>
      <c r="AP271" s="3">
        <v>4.9091799999999998E-2</v>
      </c>
      <c r="AQ271" s="3">
        <v>2.13219</v>
      </c>
      <c r="AR271" s="3">
        <v>0</v>
      </c>
      <c r="AS271" s="3">
        <v>3.8355100000000003E-2</v>
      </c>
      <c r="AT271" s="3">
        <v>0.777644</v>
      </c>
      <c r="AU271" s="3">
        <v>1.2099599999999999</v>
      </c>
      <c r="AV271" s="3">
        <v>6.6758300000000007E-2</v>
      </c>
      <c r="AW271" s="3">
        <v>1.3176600000000001</v>
      </c>
      <c r="AX271" s="3">
        <v>0</v>
      </c>
      <c r="AY271" s="3">
        <v>0</v>
      </c>
      <c r="AZ271" s="21">
        <v>-0.60483399999999998</v>
      </c>
      <c r="BA271" s="3">
        <v>33.749000000000002</v>
      </c>
      <c r="BB271" s="3">
        <v>5</v>
      </c>
    </row>
    <row r="272" spans="1:54" s="3" customFormat="1" ht="31.5" customHeight="1" x14ac:dyDescent="0.25">
      <c r="A272" s="2">
        <v>270</v>
      </c>
      <c r="B272" s="3">
        <v>7</v>
      </c>
      <c r="C272" s="2">
        <v>1</v>
      </c>
      <c r="D272" s="9">
        <v>72</v>
      </c>
      <c r="E272" s="3" t="s">
        <v>16</v>
      </c>
      <c r="F272" s="3">
        <f>IF(E273="Happy", 1,2)</f>
        <v>1</v>
      </c>
      <c r="G272" s="11"/>
      <c r="H272" s="3" t="s">
        <v>38</v>
      </c>
      <c r="I272" s="3">
        <f t="shared" si="34"/>
        <v>3</v>
      </c>
      <c r="J272" s="3" t="s">
        <v>44</v>
      </c>
      <c r="K272" s="3">
        <v>6</v>
      </c>
      <c r="L272" s="6" t="s">
        <v>145</v>
      </c>
      <c r="M272" s="3">
        <v>90</v>
      </c>
      <c r="N272" s="3">
        <f t="shared" si="35"/>
        <v>0.9</v>
      </c>
      <c r="O272" s="3">
        <v>92</v>
      </c>
      <c r="P272" s="3">
        <v>0.92</v>
      </c>
      <c r="Q272" s="17">
        <v>0.57229166666666664</v>
      </c>
      <c r="R272" s="21">
        <v>0</v>
      </c>
      <c r="S272" s="3">
        <v>7</v>
      </c>
      <c r="T272" s="3">
        <v>212.56</v>
      </c>
      <c r="U272" s="3">
        <v>222.93</v>
      </c>
      <c r="V272" s="26">
        <v>2.20062038356774</v>
      </c>
      <c r="W272" s="18">
        <v>1.8622480587968</v>
      </c>
      <c r="X272" s="18">
        <v>-0.10042677212671899</v>
      </c>
      <c r="Y272" s="18">
        <v>1.7457037685749699</v>
      </c>
      <c r="Z272" s="18">
        <v>2.1812824570578799</v>
      </c>
      <c r="AA272" s="18">
        <v>2.5908120464432498</v>
      </c>
      <c r="AB272" s="18">
        <v>1.23381357301183</v>
      </c>
      <c r="AC272" s="18">
        <v>0.34560292052188801</v>
      </c>
      <c r="AD272" s="18">
        <v>-1.23031308123012</v>
      </c>
      <c r="AE272" s="21">
        <v>0.242680647991285</v>
      </c>
      <c r="AF272" s="3">
        <v>0</v>
      </c>
      <c r="AG272" s="3">
        <v>0.46174199999999999</v>
      </c>
      <c r="AH272" s="3">
        <v>0.42076200000000002</v>
      </c>
      <c r="AI272" s="3">
        <v>40.656399999999998</v>
      </c>
      <c r="AJ272" s="3">
        <v>0.19450600000000001</v>
      </c>
      <c r="AK272" s="3">
        <v>0.60473200000000005</v>
      </c>
      <c r="AL272" s="3">
        <v>0</v>
      </c>
      <c r="AM272" s="3">
        <v>0</v>
      </c>
      <c r="AN272" s="3">
        <v>-0.39088400000000001</v>
      </c>
      <c r="AO272" s="3">
        <v>0</v>
      </c>
      <c r="AP272" s="3">
        <v>0.11358799999999999</v>
      </c>
      <c r="AQ272" s="3">
        <v>-1.06473</v>
      </c>
      <c r="AR272" s="3">
        <v>0</v>
      </c>
      <c r="AS272" s="3">
        <v>0</v>
      </c>
      <c r="AT272" s="3">
        <v>-0.85130300000000003</v>
      </c>
      <c r="AU272" s="3">
        <v>2.3166000000000002</v>
      </c>
      <c r="AV272" s="3">
        <v>7.5447399999999998E-2</v>
      </c>
      <c r="AW272" s="3">
        <v>1.2892300000000001</v>
      </c>
      <c r="AX272" s="3">
        <v>0</v>
      </c>
      <c r="AY272" s="3">
        <v>0</v>
      </c>
      <c r="AZ272" s="21">
        <v>-0.60483399999999998</v>
      </c>
      <c r="BA272" s="3">
        <v>10.372999999999999</v>
      </c>
      <c r="BB272" s="3">
        <v>6</v>
      </c>
    </row>
    <row r="273" spans="1:54" s="3" customFormat="1" ht="47.25" customHeight="1" x14ac:dyDescent="0.25">
      <c r="A273" s="2">
        <v>271</v>
      </c>
      <c r="B273" s="3">
        <v>7</v>
      </c>
      <c r="C273" s="2">
        <v>1</v>
      </c>
      <c r="D273" s="9">
        <v>72</v>
      </c>
      <c r="E273" s="3" t="s">
        <v>16</v>
      </c>
      <c r="F273" s="3">
        <f t="shared" ref="F273:F280" si="37">IF(E273="Happy", 1,2)</f>
        <v>1</v>
      </c>
      <c r="G273" s="11"/>
      <c r="H273" s="3" t="s">
        <v>38</v>
      </c>
      <c r="I273" s="3">
        <f t="shared" si="34"/>
        <v>3</v>
      </c>
      <c r="J273" s="3" t="s">
        <v>45</v>
      </c>
      <c r="K273" s="3">
        <v>7</v>
      </c>
      <c r="L273" s="6" t="s">
        <v>153</v>
      </c>
      <c r="M273" s="3">
        <v>90</v>
      </c>
      <c r="N273" s="3">
        <f t="shared" si="35"/>
        <v>0.9</v>
      </c>
      <c r="O273" s="3">
        <v>92</v>
      </c>
      <c r="P273" s="3">
        <v>0.92</v>
      </c>
      <c r="Q273" s="17">
        <v>0.42592592592592587</v>
      </c>
      <c r="R273" s="21">
        <v>0.10383589458426799</v>
      </c>
      <c r="S273" s="3">
        <v>9</v>
      </c>
      <c r="T273" s="3">
        <v>230.38</v>
      </c>
      <c r="U273" s="3">
        <v>256.51</v>
      </c>
      <c r="V273" s="26">
        <v>0.78594199021017197</v>
      </c>
      <c r="W273" s="18">
        <v>2.0735743658709098</v>
      </c>
      <c r="X273" s="18">
        <v>0.53539639808719597</v>
      </c>
      <c r="Y273" s="18">
        <v>-0.34577745998992698</v>
      </c>
      <c r="Z273" s="18">
        <v>0.528739827614368</v>
      </c>
      <c r="AA273" s="18">
        <v>0.28753423996432698</v>
      </c>
      <c r="AB273" s="18">
        <v>0.236595939560727</v>
      </c>
      <c r="AC273" s="18">
        <v>-0.28306234305938299</v>
      </c>
      <c r="AD273" s="18">
        <v>-0.95920815664304104</v>
      </c>
      <c r="AE273" s="21">
        <v>-0.67583226594566403</v>
      </c>
      <c r="AF273" s="3">
        <v>0.73563199999999995</v>
      </c>
      <c r="AG273" s="3">
        <v>0.248502</v>
      </c>
      <c r="AH273" s="3">
        <v>3.84944</v>
      </c>
      <c r="AI273" s="3">
        <v>25.195399999999999</v>
      </c>
      <c r="AJ273" s="3">
        <v>0.19778299999999999</v>
      </c>
      <c r="AK273" s="3">
        <v>0.654227</v>
      </c>
      <c r="AL273" s="3">
        <v>0</v>
      </c>
      <c r="AM273" s="3">
        <v>0</v>
      </c>
      <c r="AN273" s="3">
        <v>-0.39088400000000001</v>
      </c>
      <c r="AO273" s="3">
        <v>0</v>
      </c>
      <c r="AP273" s="3">
        <v>0.186561</v>
      </c>
      <c r="AQ273" s="3">
        <v>0.50186299999999995</v>
      </c>
      <c r="AR273" s="3">
        <v>1.6092</v>
      </c>
      <c r="AS273" s="3">
        <v>0.151222</v>
      </c>
      <c r="AT273" s="3">
        <v>3.1221100000000002</v>
      </c>
      <c r="AU273" s="3">
        <v>2.3908</v>
      </c>
      <c r="AV273" s="3">
        <v>5.8171500000000001E-2</v>
      </c>
      <c r="AW273" s="3">
        <v>1.2810999999999999</v>
      </c>
      <c r="AX273" s="3">
        <v>0</v>
      </c>
      <c r="AY273" s="3">
        <v>9.0543999999999999E-2</v>
      </c>
      <c r="AZ273" s="21">
        <v>-2.2288800000000001E-2</v>
      </c>
      <c r="BA273" s="3">
        <v>26.13</v>
      </c>
      <c r="BB273" s="3">
        <v>7</v>
      </c>
    </row>
    <row r="274" spans="1:54" s="3" customFormat="1" ht="63" customHeight="1" x14ac:dyDescent="0.25">
      <c r="A274" s="2">
        <v>272</v>
      </c>
      <c r="B274" s="3">
        <v>7</v>
      </c>
      <c r="C274" s="2">
        <v>1</v>
      </c>
      <c r="D274" s="9">
        <v>72</v>
      </c>
      <c r="E274" s="3" t="s">
        <v>16</v>
      </c>
      <c r="F274" s="3">
        <f t="shared" si="37"/>
        <v>1</v>
      </c>
      <c r="G274" s="11"/>
      <c r="H274" s="3" t="s">
        <v>38</v>
      </c>
      <c r="I274" s="3">
        <f t="shared" si="34"/>
        <v>3</v>
      </c>
      <c r="J274" s="3" t="s">
        <v>46</v>
      </c>
      <c r="K274" s="3">
        <v>8</v>
      </c>
      <c r="L274" s="6" t="s">
        <v>223</v>
      </c>
      <c r="M274" s="3">
        <v>90</v>
      </c>
      <c r="N274" s="3">
        <f t="shared" si="35"/>
        <v>0.9</v>
      </c>
      <c r="O274" s="3">
        <v>92</v>
      </c>
      <c r="P274" s="3">
        <v>0.92</v>
      </c>
      <c r="Q274" s="17">
        <v>0.25092592592592589</v>
      </c>
      <c r="R274" s="21">
        <v>0.37889404797182719</v>
      </c>
      <c r="S274" s="3">
        <v>11</v>
      </c>
      <c r="T274" s="3">
        <v>266.3</v>
      </c>
      <c r="U274" s="3">
        <v>293.77</v>
      </c>
      <c r="V274" s="26">
        <v>-0.61582265163107897</v>
      </c>
      <c r="W274" s="18">
        <v>0.18316760241386901</v>
      </c>
      <c r="X274" s="18">
        <v>-0.81755128939176802</v>
      </c>
      <c r="Y274" s="18">
        <v>0.37021698979401502</v>
      </c>
      <c r="Z274" s="18">
        <v>0.98802960473490797</v>
      </c>
      <c r="AA274" s="18">
        <v>0.566934114215915</v>
      </c>
      <c r="AB274" s="18">
        <v>0.42421858436852999</v>
      </c>
      <c r="AC274" s="18">
        <v>0.22768570621772499</v>
      </c>
      <c r="AD274" s="18">
        <v>-0.46360590476513602</v>
      </c>
      <c r="AE274" s="21">
        <v>-0.28592661623752902</v>
      </c>
      <c r="AF274" s="3">
        <v>0</v>
      </c>
      <c r="AG274" s="3">
        <v>0.43685200000000002</v>
      </c>
      <c r="AH274" s="3">
        <v>-5.98927E-2</v>
      </c>
      <c r="AI274" s="3">
        <v>13.1195</v>
      </c>
      <c r="AJ274" s="3">
        <v>7.6324699999999995E-2</v>
      </c>
      <c r="AK274" s="3">
        <v>0.348713</v>
      </c>
      <c r="AL274" s="3">
        <v>0</v>
      </c>
      <c r="AM274" s="3">
        <v>2.85721E-2</v>
      </c>
      <c r="AN274" s="3">
        <v>-0.20707200000000001</v>
      </c>
      <c r="AO274" s="3">
        <v>10.408200000000001</v>
      </c>
      <c r="AP274" s="3">
        <v>0.124373</v>
      </c>
      <c r="AQ274" s="3">
        <v>2.3206199999999999</v>
      </c>
      <c r="AR274" s="3">
        <v>14.125400000000001</v>
      </c>
      <c r="AS274" s="3">
        <v>0.16045899999999999</v>
      </c>
      <c r="AT274" s="3">
        <v>3.4060199999999998</v>
      </c>
      <c r="AU274" s="3">
        <v>15.874599999999999</v>
      </c>
      <c r="AV274" s="3">
        <v>0.15522</v>
      </c>
      <c r="AW274" s="3">
        <v>1.7815399999999999</v>
      </c>
      <c r="AX274" s="3">
        <v>7.4344000000000001</v>
      </c>
      <c r="AY274" s="3">
        <v>0.233957</v>
      </c>
      <c r="AZ274" s="21">
        <v>3.6507299999999998</v>
      </c>
      <c r="BA274" s="3">
        <v>27.466000000000001</v>
      </c>
      <c r="BB274" s="3">
        <v>8</v>
      </c>
    </row>
    <row r="275" spans="1:54" s="3" customFormat="1" ht="78.75" customHeight="1" x14ac:dyDescent="0.25">
      <c r="A275" s="2">
        <v>273</v>
      </c>
      <c r="B275" s="3">
        <v>7</v>
      </c>
      <c r="C275" s="2">
        <v>1</v>
      </c>
      <c r="D275" s="9">
        <v>72</v>
      </c>
      <c r="E275" s="3" t="s">
        <v>53</v>
      </c>
      <c r="F275" s="3">
        <f t="shared" si="37"/>
        <v>2</v>
      </c>
      <c r="G275" s="11" t="s">
        <v>54</v>
      </c>
      <c r="H275" s="3" t="s">
        <v>54</v>
      </c>
      <c r="I275" s="3">
        <f t="shared" si="34"/>
        <v>1</v>
      </c>
      <c r="J275" s="3" t="s">
        <v>55</v>
      </c>
      <c r="K275" s="3">
        <v>1</v>
      </c>
      <c r="L275" s="6" t="s">
        <v>168</v>
      </c>
      <c r="M275" s="3">
        <v>88</v>
      </c>
      <c r="N275" s="3">
        <f t="shared" si="35"/>
        <v>0.88</v>
      </c>
      <c r="O275" s="3">
        <v>86</v>
      </c>
      <c r="P275" s="3">
        <v>0.86</v>
      </c>
      <c r="Q275" s="17">
        <v>0.15138888888888891</v>
      </c>
      <c r="R275" s="21">
        <v>0.3420695456688217</v>
      </c>
      <c r="S275" s="3">
        <v>2</v>
      </c>
      <c r="T275" s="3">
        <v>42.78</v>
      </c>
      <c r="U275" s="3">
        <v>83.99</v>
      </c>
      <c r="V275" s="26">
        <v>-1.1975990498449001</v>
      </c>
      <c r="W275" s="18">
        <v>-0.62245210903086201</v>
      </c>
      <c r="X275" s="18">
        <v>-0.95973225285771502</v>
      </c>
      <c r="Y275" s="18">
        <v>1.1069749068972099</v>
      </c>
      <c r="Z275" s="18">
        <v>0.351425252822469</v>
      </c>
      <c r="AA275" s="18">
        <v>0.67955012269661497</v>
      </c>
      <c r="AB275" s="18">
        <v>-1.1963692799108301</v>
      </c>
      <c r="AC275" s="18">
        <v>-0.939592769675068</v>
      </c>
      <c r="AD275" s="18">
        <v>-0.54681632716314998</v>
      </c>
      <c r="AE275" s="21">
        <v>0.27350322899588098</v>
      </c>
      <c r="AF275" s="3">
        <v>0.46624599999999999</v>
      </c>
      <c r="AG275" s="3">
        <v>0.26837800000000001</v>
      </c>
      <c r="AH275" s="3">
        <v>3.04359</v>
      </c>
      <c r="AI275" s="3">
        <v>5.8863500000000002</v>
      </c>
      <c r="AJ275" s="3">
        <v>0.123751</v>
      </c>
      <c r="AK275" s="3">
        <v>1.21516</v>
      </c>
      <c r="AL275" s="3">
        <v>0</v>
      </c>
      <c r="AM275" s="3">
        <v>0</v>
      </c>
      <c r="AN275" s="3">
        <v>-0.41372700000000001</v>
      </c>
      <c r="AO275" s="3">
        <v>0.203983</v>
      </c>
      <c r="AP275" s="3">
        <v>0.197134</v>
      </c>
      <c r="AQ275" s="3">
        <v>2.5731000000000002</v>
      </c>
      <c r="AR275" s="3">
        <v>0.34968399999999999</v>
      </c>
      <c r="AS275" s="3">
        <v>0.68630500000000005</v>
      </c>
      <c r="AT275" s="3">
        <v>3.4408300000000001</v>
      </c>
      <c r="AU275" s="3">
        <v>1.2530399999999999</v>
      </c>
      <c r="AV275" s="3">
        <v>5.9805200000000003E-2</v>
      </c>
      <c r="AW275" s="3">
        <v>1.5028699999999999</v>
      </c>
      <c r="AX275" s="3">
        <v>0</v>
      </c>
      <c r="AY275" s="3">
        <v>0</v>
      </c>
      <c r="AZ275" s="21">
        <v>-0.55847800000000003</v>
      </c>
      <c r="BA275" s="3">
        <v>41.207000000000001</v>
      </c>
      <c r="BB275" s="3">
        <v>1</v>
      </c>
    </row>
    <row r="276" spans="1:54" s="3" customFormat="1" ht="63" customHeight="1" x14ac:dyDescent="0.25">
      <c r="A276" s="2">
        <v>274</v>
      </c>
      <c r="B276" s="3">
        <v>7</v>
      </c>
      <c r="C276" s="2">
        <v>1</v>
      </c>
      <c r="D276" s="9">
        <v>72</v>
      </c>
      <c r="E276" s="3" t="s">
        <v>53</v>
      </c>
      <c r="F276" s="3">
        <f t="shared" si="37"/>
        <v>2</v>
      </c>
      <c r="G276" s="11"/>
      <c r="H276" s="3" t="s">
        <v>54</v>
      </c>
      <c r="I276" s="3">
        <f t="shared" si="34"/>
        <v>1</v>
      </c>
      <c r="J276" s="3" t="s">
        <v>56</v>
      </c>
      <c r="K276" s="3">
        <v>2</v>
      </c>
      <c r="L276" s="6" t="s">
        <v>223</v>
      </c>
      <c r="M276" s="3">
        <v>88</v>
      </c>
      <c r="N276" s="3">
        <f t="shared" si="35"/>
        <v>0.88</v>
      </c>
      <c r="O276" s="3">
        <v>86</v>
      </c>
      <c r="P276" s="3">
        <v>0.86</v>
      </c>
      <c r="Q276" s="17">
        <v>-6.2499999999999993E-2</v>
      </c>
      <c r="R276" s="21">
        <v>0.46653644016303808</v>
      </c>
      <c r="S276" s="3">
        <v>3</v>
      </c>
      <c r="T276" s="3">
        <v>83.99</v>
      </c>
      <c r="U276" s="3">
        <v>111.42</v>
      </c>
      <c r="V276" s="26">
        <v>1.2382590788027099</v>
      </c>
      <c r="W276" s="18">
        <v>-0.56531537895813</v>
      </c>
      <c r="X276" s="18">
        <v>-2.2875605774591402E-2</v>
      </c>
      <c r="Y276" s="18">
        <v>0.82297740504714101</v>
      </c>
      <c r="Z276" s="18">
        <v>-0.62033650401577101</v>
      </c>
      <c r="AA276" s="18">
        <v>-0.633983517505191</v>
      </c>
      <c r="AB276" s="18">
        <v>0.96847714820098796</v>
      </c>
      <c r="AC276" s="18">
        <v>0.54201833800835997</v>
      </c>
      <c r="AD276" s="18">
        <v>-1.95846528192124</v>
      </c>
      <c r="AE276" s="21">
        <v>-0.28130322908684002</v>
      </c>
      <c r="AF276" s="3">
        <v>2.1444200000000002</v>
      </c>
      <c r="AG276" s="3">
        <v>0.15654599999999999</v>
      </c>
      <c r="AH276" s="3">
        <v>2.4917799999999999</v>
      </c>
      <c r="AI276" s="3">
        <v>20.393899999999999</v>
      </c>
      <c r="AJ276" s="3">
        <v>0.123227</v>
      </c>
      <c r="AK276" s="3">
        <v>0.99518899999999999</v>
      </c>
      <c r="AL276" s="3">
        <v>0</v>
      </c>
      <c r="AM276" s="3">
        <v>0</v>
      </c>
      <c r="AN276" s="3">
        <v>-0.41372700000000001</v>
      </c>
      <c r="AO276" s="3">
        <v>0</v>
      </c>
      <c r="AP276" s="3">
        <v>8.6020799999999994E-2</v>
      </c>
      <c r="AQ276" s="3">
        <v>-0.82632399999999995</v>
      </c>
      <c r="AR276" s="3">
        <v>0</v>
      </c>
      <c r="AS276" s="3">
        <v>0</v>
      </c>
      <c r="AT276" s="3">
        <v>-0.62535799999999997</v>
      </c>
      <c r="AU276" s="3">
        <v>1.8380700000000001</v>
      </c>
      <c r="AV276" s="3">
        <v>7.7631599999999995E-2</v>
      </c>
      <c r="AW276" s="3">
        <v>1.4840100000000001</v>
      </c>
      <c r="AX276" s="3">
        <v>7.3085300000000002</v>
      </c>
      <c r="AY276" s="3">
        <v>0.58827499999999999</v>
      </c>
      <c r="AZ276" s="21">
        <v>3.9386100000000002</v>
      </c>
      <c r="BA276" s="3">
        <v>27.433</v>
      </c>
      <c r="BB276" s="3">
        <v>2</v>
      </c>
    </row>
    <row r="277" spans="1:54" s="3" customFormat="1" ht="94.5" customHeight="1" x14ac:dyDescent="0.25">
      <c r="A277" s="2">
        <v>275</v>
      </c>
      <c r="B277" s="3">
        <v>7</v>
      </c>
      <c r="C277" s="2">
        <v>1</v>
      </c>
      <c r="D277" s="9">
        <v>72</v>
      </c>
      <c r="E277" s="3" t="s">
        <v>53</v>
      </c>
      <c r="F277" s="3">
        <f t="shared" si="37"/>
        <v>2</v>
      </c>
      <c r="G277" s="11"/>
      <c r="H277" s="3" t="s">
        <v>54</v>
      </c>
      <c r="I277" s="3">
        <f t="shared" si="34"/>
        <v>1</v>
      </c>
      <c r="J277" s="3" t="s">
        <v>57</v>
      </c>
      <c r="K277" s="3">
        <v>3</v>
      </c>
      <c r="L277" s="6" t="s">
        <v>240</v>
      </c>
      <c r="M277" s="3">
        <v>88</v>
      </c>
      <c r="N277" s="3">
        <f t="shared" si="35"/>
        <v>0.88</v>
      </c>
      <c r="O277" s="3">
        <v>86</v>
      </c>
      <c r="P277" s="3">
        <v>0.86</v>
      </c>
      <c r="Q277" s="17">
        <v>-4.2777777777777783E-2</v>
      </c>
      <c r="R277" s="21">
        <v>0.1286743904801266</v>
      </c>
      <c r="S277" s="3">
        <v>4</v>
      </c>
      <c r="T277" s="3">
        <v>111.42</v>
      </c>
      <c r="U277" s="3">
        <v>162.43</v>
      </c>
      <c r="V277" s="26">
        <v>0.63818236966435604</v>
      </c>
      <c r="W277" s="18">
        <v>-0.57860835339374705</v>
      </c>
      <c r="X277" s="18">
        <v>0.38095964212878503</v>
      </c>
      <c r="Y277" s="18">
        <v>0.67041105822304603</v>
      </c>
      <c r="Z277" s="18">
        <v>-0.71489616401117695</v>
      </c>
      <c r="AA277" s="18">
        <v>-0.51003948982279601</v>
      </c>
      <c r="AB277" s="18">
        <v>-0.67447690796232695</v>
      </c>
      <c r="AC277" s="18">
        <v>0.31433956687352099</v>
      </c>
      <c r="AD277" s="18">
        <v>-0.31207020884382702</v>
      </c>
      <c r="AE277" s="21">
        <v>1.6134677607507801E-2</v>
      </c>
      <c r="AF277" s="3">
        <v>0</v>
      </c>
      <c r="AG277" s="3">
        <v>0.414433</v>
      </c>
      <c r="AH277" s="3">
        <v>8.5554499999999992E-3</v>
      </c>
      <c r="AI277" s="3">
        <v>7.5323700000000002</v>
      </c>
      <c r="AJ277" s="3">
        <v>0.113735</v>
      </c>
      <c r="AK277" s="3">
        <v>1.04236</v>
      </c>
      <c r="AL277" s="3">
        <v>0</v>
      </c>
      <c r="AM277" s="3">
        <v>0</v>
      </c>
      <c r="AN277" s="3">
        <v>-0.41372700000000001</v>
      </c>
      <c r="AO277" s="3">
        <v>0</v>
      </c>
      <c r="AP277" s="3">
        <v>0</v>
      </c>
      <c r="AQ277" s="3">
        <v>-0.99216800000000005</v>
      </c>
      <c r="AR277" s="3">
        <v>0</v>
      </c>
      <c r="AS277" s="3">
        <v>8.7160600000000005E-2</v>
      </c>
      <c r="AT277" s="3">
        <v>-0.44337900000000002</v>
      </c>
      <c r="AU277" s="3">
        <v>0.54138900000000001</v>
      </c>
      <c r="AV277" s="3">
        <v>0.301201</v>
      </c>
      <c r="AW277" s="3">
        <v>2.1733099999999999</v>
      </c>
      <c r="AX277" s="3">
        <v>0.96508400000000005</v>
      </c>
      <c r="AY277" s="3">
        <v>0.174591</v>
      </c>
      <c r="AZ277" s="21">
        <v>2.5606</v>
      </c>
      <c r="BA277" s="3">
        <v>51.008000000000003</v>
      </c>
      <c r="BB277" s="3">
        <v>3</v>
      </c>
    </row>
    <row r="278" spans="1:54" s="3" customFormat="1" ht="63" customHeight="1" x14ac:dyDescent="0.25">
      <c r="A278" s="2">
        <v>276</v>
      </c>
      <c r="B278" s="3">
        <v>7</v>
      </c>
      <c r="C278" s="2">
        <v>1</v>
      </c>
      <c r="D278" s="9">
        <v>72</v>
      </c>
      <c r="E278" s="3" t="s">
        <v>53</v>
      </c>
      <c r="F278" s="3">
        <f t="shared" si="37"/>
        <v>2</v>
      </c>
      <c r="G278" s="11"/>
      <c r="H278" s="3" t="s">
        <v>54</v>
      </c>
      <c r="I278" s="3">
        <f t="shared" si="34"/>
        <v>1</v>
      </c>
      <c r="J278" s="3" t="s">
        <v>58</v>
      </c>
      <c r="K278" s="3">
        <v>4</v>
      </c>
      <c r="L278" s="6" t="s">
        <v>163</v>
      </c>
      <c r="M278" s="3">
        <v>88</v>
      </c>
      <c r="N278" s="3">
        <f t="shared" si="35"/>
        <v>0.88</v>
      </c>
      <c r="O278" s="3">
        <v>86</v>
      </c>
      <c r="P278" s="3">
        <v>0.86</v>
      </c>
      <c r="Q278" s="17">
        <v>0.22375</v>
      </c>
      <c r="R278" s="21">
        <v>0.1546703483757203</v>
      </c>
      <c r="S278" s="3">
        <v>5</v>
      </c>
      <c r="T278" s="3">
        <v>162.43</v>
      </c>
      <c r="U278" s="3">
        <v>198.44</v>
      </c>
      <c r="V278" s="26">
        <v>1.02559491515377</v>
      </c>
      <c r="W278" s="18">
        <v>1.64152666122902</v>
      </c>
      <c r="X278" s="18">
        <v>1.7100980428443</v>
      </c>
      <c r="Y278" s="18">
        <v>0.50786125396667503</v>
      </c>
      <c r="Z278" s="18">
        <v>0.98279657335807202</v>
      </c>
      <c r="AA278" s="18">
        <v>1.1608248928846101</v>
      </c>
      <c r="AB278" s="18">
        <v>0.38774247065153</v>
      </c>
      <c r="AC278" s="18">
        <v>-0.56069451621932898</v>
      </c>
      <c r="AD278" s="18">
        <v>0.31627828873648001</v>
      </c>
      <c r="AE278" s="21">
        <v>-0.36298306874901798</v>
      </c>
      <c r="AF278" s="3">
        <v>0.86666699999999997</v>
      </c>
      <c r="AG278" s="3">
        <v>6.1566799999999998E-2</v>
      </c>
      <c r="AH278" s="3">
        <v>2.2683599999999999</v>
      </c>
      <c r="AI278" s="3">
        <v>23.166699999999999</v>
      </c>
      <c r="AJ278" s="3">
        <v>9.0191199999999999E-2</v>
      </c>
      <c r="AK278" s="3">
        <v>1.0893900000000001</v>
      </c>
      <c r="AL278" s="3">
        <v>0</v>
      </c>
      <c r="AM278" s="3">
        <v>0</v>
      </c>
      <c r="AN278" s="3">
        <v>-0.41372700000000001</v>
      </c>
      <c r="AO278" s="3">
        <v>0</v>
      </c>
      <c r="AP278" s="3">
        <v>0.102767</v>
      </c>
      <c r="AQ278" s="3">
        <v>-0.82740800000000003</v>
      </c>
      <c r="AR278" s="3">
        <v>0</v>
      </c>
      <c r="AS278" s="3">
        <v>0</v>
      </c>
      <c r="AT278" s="3">
        <v>-0.62535799999999997</v>
      </c>
      <c r="AU278" s="3">
        <v>2.1333299999999999</v>
      </c>
      <c r="AV278" s="3">
        <v>0.15870300000000001</v>
      </c>
      <c r="AW278" s="3">
        <v>1.75884</v>
      </c>
      <c r="AX278" s="3">
        <v>6.6333299999999999</v>
      </c>
      <c r="AY278" s="3">
        <v>0.120272</v>
      </c>
      <c r="AZ278" s="21">
        <v>2.4095399999999998</v>
      </c>
      <c r="BA278" s="3">
        <v>36.014000000000003</v>
      </c>
      <c r="BB278" s="3">
        <v>4</v>
      </c>
    </row>
    <row r="279" spans="1:54" s="3" customFormat="1" ht="78.75" customHeight="1" x14ac:dyDescent="0.25">
      <c r="A279" s="2">
        <v>277</v>
      </c>
      <c r="B279" s="3">
        <v>7</v>
      </c>
      <c r="C279" s="2">
        <v>1</v>
      </c>
      <c r="D279" s="9">
        <v>72</v>
      </c>
      <c r="E279" s="3" t="s">
        <v>53</v>
      </c>
      <c r="F279" s="3">
        <f t="shared" si="37"/>
        <v>2</v>
      </c>
      <c r="G279" s="11"/>
      <c r="H279" s="3" t="s">
        <v>54</v>
      </c>
      <c r="I279" s="3">
        <f t="shared" si="34"/>
        <v>1</v>
      </c>
      <c r="J279" s="3" t="s">
        <v>59</v>
      </c>
      <c r="K279" s="3">
        <v>5</v>
      </c>
      <c r="L279" s="6" t="s">
        <v>168</v>
      </c>
      <c r="M279" s="3">
        <v>88</v>
      </c>
      <c r="N279" s="3">
        <f t="shared" si="35"/>
        <v>0.88</v>
      </c>
      <c r="O279" s="3">
        <v>86</v>
      </c>
      <c r="P279" s="3">
        <v>0.86</v>
      </c>
      <c r="Q279" s="17">
        <v>0.17416666666666669</v>
      </c>
      <c r="R279" s="21">
        <v>0.37709967736218852</v>
      </c>
      <c r="S279" s="3">
        <v>6</v>
      </c>
      <c r="T279" s="3">
        <v>198.44</v>
      </c>
      <c r="U279" s="3">
        <v>239.01</v>
      </c>
      <c r="V279" s="26">
        <v>0.131747847848527</v>
      </c>
      <c r="W279" s="18">
        <v>0.24879190038309701</v>
      </c>
      <c r="X279" s="18">
        <v>-0.20791512148853</v>
      </c>
      <c r="Y279" s="18">
        <v>5.4729114234690499E-2</v>
      </c>
      <c r="Z279" s="18">
        <v>-0.65903659652354396</v>
      </c>
      <c r="AA279" s="18">
        <v>-0.46970878953793299</v>
      </c>
      <c r="AB279" s="18">
        <v>1.2585386991960501</v>
      </c>
      <c r="AC279" s="18">
        <v>0.69153872502228397</v>
      </c>
      <c r="AD279" s="18">
        <v>-6.6587261827986993E-2</v>
      </c>
      <c r="AE279" s="21">
        <v>-0.415381456456831</v>
      </c>
      <c r="AF279" s="3">
        <v>2.04243</v>
      </c>
      <c r="AG279" s="3">
        <v>0.18437700000000001</v>
      </c>
      <c r="AH279" s="3">
        <v>2.7770299999999999</v>
      </c>
      <c r="AI279" s="3">
        <v>23.3843</v>
      </c>
      <c r="AJ279" s="3">
        <v>0.17165900000000001</v>
      </c>
      <c r="AK279" s="3">
        <v>1.25217</v>
      </c>
      <c r="AL279" s="3">
        <v>0.207203</v>
      </c>
      <c r="AM279" s="3">
        <v>5.8146000000000003E-2</v>
      </c>
      <c r="AN279" s="3">
        <v>5.07864</v>
      </c>
      <c r="AO279" s="3">
        <v>0</v>
      </c>
      <c r="AP279" s="3">
        <v>0.11408</v>
      </c>
      <c r="AQ279" s="3">
        <v>0.49686999999999998</v>
      </c>
      <c r="AR279" s="3">
        <v>0</v>
      </c>
      <c r="AS279" s="3">
        <v>2.6276899999999999E-2</v>
      </c>
      <c r="AT279" s="3">
        <v>-0.60234399999999999</v>
      </c>
      <c r="AU279" s="3">
        <v>3.1080399999999999</v>
      </c>
      <c r="AV279" s="3">
        <v>0.18585699999999999</v>
      </c>
      <c r="AW279" s="3">
        <v>1.9987600000000001</v>
      </c>
      <c r="AX279" s="3">
        <v>0</v>
      </c>
      <c r="AY279" s="3">
        <v>0</v>
      </c>
      <c r="AZ279" s="21">
        <v>-0.55847800000000003</v>
      </c>
      <c r="BA279" s="3">
        <v>40.569000000000003</v>
      </c>
      <c r="BB279" s="3">
        <v>5</v>
      </c>
    </row>
    <row r="280" spans="1:54" s="3" customFormat="1" ht="47.25" customHeight="1" x14ac:dyDescent="0.25">
      <c r="A280" s="2">
        <v>278</v>
      </c>
      <c r="B280" s="3">
        <v>7</v>
      </c>
      <c r="C280" s="2">
        <v>1</v>
      </c>
      <c r="D280" s="9">
        <v>72</v>
      </c>
      <c r="E280" s="3" t="s">
        <v>53</v>
      </c>
      <c r="F280" s="3">
        <f t="shared" si="37"/>
        <v>2</v>
      </c>
      <c r="G280" s="11"/>
      <c r="H280" s="3" t="s">
        <v>54</v>
      </c>
      <c r="I280" s="3">
        <f t="shared" si="34"/>
        <v>1</v>
      </c>
      <c r="J280" s="3" t="s">
        <v>60</v>
      </c>
      <c r="K280" s="3">
        <v>6</v>
      </c>
      <c r="L280" s="6" t="s">
        <v>152</v>
      </c>
      <c r="M280" s="3">
        <v>88</v>
      </c>
      <c r="N280" s="3">
        <f t="shared" si="35"/>
        <v>0.88</v>
      </c>
      <c r="O280" s="3">
        <v>86</v>
      </c>
      <c r="P280" s="3">
        <v>0.86</v>
      </c>
      <c r="Q280" s="17">
        <v>8.1944444444444445E-2</v>
      </c>
      <c r="R280" s="21">
        <v>0.1178838620773497</v>
      </c>
      <c r="S280" s="3">
        <v>7</v>
      </c>
      <c r="T280" s="3">
        <v>239.01</v>
      </c>
      <c r="U280" s="3">
        <v>263.02999999999997</v>
      </c>
      <c r="V280" s="26">
        <v>2.5368256370206299</v>
      </c>
      <c r="W280" s="18">
        <v>0.64623472697547002</v>
      </c>
      <c r="X280" s="18">
        <v>3.3023366361002799</v>
      </c>
      <c r="Y280" s="18">
        <v>1.30998957585249</v>
      </c>
      <c r="Z280" s="18">
        <v>0.39584517032352801</v>
      </c>
      <c r="AA280" s="18">
        <v>1.30314466507008</v>
      </c>
      <c r="AB280" s="18">
        <v>0.38175776696383001</v>
      </c>
      <c r="AC280" s="18">
        <v>0.66027537137391801</v>
      </c>
      <c r="AD280" s="18">
        <v>0.44390013892463498</v>
      </c>
      <c r="AE280" s="21">
        <v>1.5618871149879801</v>
      </c>
      <c r="AF280" s="3">
        <v>0</v>
      </c>
      <c r="AG280" s="3">
        <v>0.29181400000000002</v>
      </c>
      <c r="AH280" s="3">
        <v>-0.34840399999999999</v>
      </c>
      <c r="AI280" s="3">
        <v>6.7</v>
      </c>
      <c r="AJ280" s="3">
        <v>7.9683400000000001E-2</v>
      </c>
      <c r="AK280" s="3">
        <v>0.89893400000000001</v>
      </c>
      <c r="AL280" s="3">
        <v>0</v>
      </c>
      <c r="AM280" s="3">
        <v>1.59153E-2</v>
      </c>
      <c r="AN280" s="3">
        <v>-0.382465</v>
      </c>
      <c r="AO280" s="3">
        <v>3.3</v>
      </c>
      <c r="AP280" s="3">
        <v>0.12149500000000001</v>
      </c>
      <c r="AQ280" s="3">
        <v>1.9754499999999999</v>
      </c>
      <c r="AR280" s="3">
        <v>0.3</v>
      </c>
      <c r="AS280" s="3">
        <v>0.115355</v>
      </c>
      <c r="AT280" s="3">
        <v>2.5846300000000002</v>
      </c>
      <c r="AU280" s="3">
        <v>0</v>
      </c>
      <c r="AV280" s="3">
        <v>6.09098E-2</v>
      </c>
      <c r="AW280" s="3">
        <v>1.2064900000000001</v>
      </c>
      <c r="AX280" s="3">
        <v>0</v>
      </c>
      <c r="AY280" s="3">
        <v>0</v>
      </c>
      <c r="AZ280" s="21">
        <v>-0.55847800000000003</v>
      </c>
      <c r="BA280" s="3">
        <v>24.013999999999999</v>
      </c>
      <c r="BB280" s="3">
        <v>6</v>
      </c>
    </row>
    <row r="281" spans="1:54" s="3" customFormat="1" ht="63" customHeight="1" x14ac:dyDescent="0.25">
      <c r="A281" s="2">
        <v>279</v>
      </c>
      <c r="B281" s="3">
        <v>7</v>
      </c>
      <c r="C281" s="2">
        <v>1</v>
      </c>
      <c r="D281" s="9">
        <v>72</v>
      </c>
      <c r="E281" s="3" t="s">
        <v>53</v>
      </c>
      <c r="F281" s="3">
        <f>IF(E282="Happy", 1,2)</f>
        <v>2</v>
      </c>
      <c r="G281" s="11"/>
      <c r="H281" s="3" t="s">
        <v>54</v>
      </c>
      <c r="I281" s="3">
        <f t="shared" si="34"/>
        <v>1</v>
      </c>
      <c r="J281" s="3" t="s">
        <v>61</v>
      </c>
      <c r="K281" s="3">
        <v>7</v>
      </c>
      <c r="L281" s="6" t="s">
        <v>175</v>
      </c>
      <c r="M281" s="3">
        <v>88</v>
      </c>
      <c r="N281" s="3">
        <f t="shared" si="35"/>
        <v>0.88</v>
      </c>
      <c r="O281" s="3">
        <v>86</v>
      </c>
      <c r="P281" s="3">
        <v>0.86</v>
      </c>
      <c r="Q281" s="17">
        <v>-0.17812500000000001</v>
      </c>
      <c r="R281" s="21">
        <v>0.40186738587913973</v>
      </c>
      <c r="S281" s="3">
        <v>9</v>
      </c>
      <c r="T281" s="3">
        <v>291.11</v>
      </c>
      <c r="U281" s="3">
        <v>323.58999999999997</v>
      </c>
      <c r="V281" s="26">
        <v>0.37545818117752999</v>
      </c>
      <c r="W281" s="18">
        <v>1.4982571102329501</v>
      </c>
      <c r="X281" s="18">
        <v>0.51220678622505</v>
      </c>
      <c r="Y281" s="18">
        <v>1.93671704721272</v>
      </c>
      <c r="Z281" s="18">
        <v>-0.61814593274174601</v>
      </c>
      <c r="AA281" s="18">
        <v>-0.88618876585564099</v>
      </c>
      <c r="AB281" s="18">
        <v>0.32064389499966001</v>
      </c>
      <c r="AC281" s="18">
        <v>-0.88216334829926502</v>
      </c>
      <c r="AD281" s="18">
        <v>-1.39697794486016</v>
      </c>
      <c r="AE281" s="21">
        <v>1.4802072753258</v>
      </c>
      <c r="AF281" s="3">
        <v>0</v>
      </c>
      <c r="AG281" s="3">
        <v>0.34926299999999999</v>
      </c>
      <c r="AH281" s="3">
        <v>-0.21834999999999999</v>
      </c>
      <c r="AI281" s="3">
        <v>12.310499999999999</v>
      </c>
      <c r="AJ281" s="3">
        <v>0.12281499999999999</v>
      </c>
      <c r="AK281" s="3">
        <v>1.07274</v>
      </c>
      <c r="AL281" s="3">
        <v>0.36968600000000001</v>
      </c>
      <c r="AM281" s="3">
        <v>0.244088</v>
      </c>
      <c r="AN281" s="3">
        <v>7.0163599999999997</v>
      </c>
      <c r="AO281" s="3">
        <v>1.07209</v>
      </c>
      <c r="AP281" s="3">
        <v>6.1032799999999998E-2</v>
      </c>
      <c r="AQ281" s="3">
        <v>1.8174300000000001</v>
      </c>
      <c r="AR281" s="3">
        <v>0.33271699999999998</v>
      </c>
      <c r="AS281" s="3">
        <v>0.140129</v>
      </c>
      <c r="AT281" s="3">
        <v>2.7059500000000001</v>
      </c>
      <c r="AU281" s="3">
        <v>4.6580399999999997</v>
      </c>
      <c r="AV281" s="3">
        <v>0.48030699999999998</v>
      </c>
      <c r="AW281" s="3">
        <v>2.9859399999999998</v>
      </c>
      <c r="AX281" s="3">
        <v>2.7356699999999998</v>
      </c>
      <c r="AY281" s="3">
        <v>0.62627999999999995</v>
      </c>
      <c r="AZ281" s="21">
        <v>3.5547</v>
      </c>
      <c r="BA281" s="3">
        <v>32.475999999999999</v>
      </c>
      <c r="BB281" s="3">
        <v>7</v>
      </c>
    </row>
    <row r="282" spans="1:54" s="3" customFormat="1" ht="63" customHeight="1" x14ac:dyDescent="0.25">
      <c r="A282" s="2">
        <v>280</v>
      </c>
      <c r="B282" s="3">
        <v>7</v>
      </c>
      <c r="C282" s="2">
        <v>1</v>
      </c>
      <c r="D282" s="9">
        <v>72</v>
      </c>
      <c r="E282" s="3" t="s">
        <v>53</v>
      </c>
      <c r="F282" s="3">
        <f>IF(E283="Happy", 1,2)</f>
        <v>2</v>
      </c>
      <c r="G282" s="11"/>
      <c r="H282" s="3" t="s">
        <v>54</v>
      </c>
      <c r="I282" s="3">
        <f t="shared" si="34"/>
        <v>1</v>
      </c>
      <c r="J282" s="3" t="s">
        <v>62</v>
      </c>
      <c r="K282" s="3">
        <v>8</v>
      </c>
      <c r="L282" s="6" t="s">
        <v>165</v>
      </c>
      <c r="M282" s="3">
        <v>88</v>
      </c>
      <c r="N282" s="3">
        <f t="shared" si="35"/>
        <v>0.88</v>
      </c>
      <c r="O282" s="3">
        <v>86</v>
      </c>
      <c r="P282" s="3">
        <v>0.86</v>
      </c>
      <c r="Q282" s="17">
        <v>0.2648611111111111</v>
      </c>
      <c r="R282" s="21">
        <v>0.40142356155512959</v>
      </c>
      <c r="S282" s="3">
        <v>10</v>
      </c>
      <c r="T282" s="3">
        <v>323.58999999999997</v>
      </c>
      <c r="U282" s="3">
        <v>354.76</v>
      </c>
      <c r="V282" s="26">
        <v>1.17591490030141</v>
      </c>
      <c r="W282" s="18">
        <v>0.76224884521714797</v>
      </c>
      <c r="X282" s="18">
        <v>0.62010825218773002</v>
      </c>
      <c r="Y282" s="18">
        <v>0.138685742960374</v>
      </c>
      <c r="Z282" s="18">
        <v>-0.91861929249548602</v>
      </c>
      <c r="AA282" s="18">
        <v>-0.84552597380265004</v>
      </c>
      <c r="AB282" s="18">
        <v>0.440687440501834</v>
      </c>
      <c r="AC282" s="18">
        <v>1.54686330255421</v>
      </c>
      <c r="AD282" s="18">
        <v>-0.11417093446028199</v>
      </c>
      <c r="AE282" s="21">
        <v>-0.25972742238362301</v>
      </c>
      <c r="AF282" s="3">
        <v>1.84971</v>
      </c>
      <c r="AG282" s="3">
        <v>0.47339199999999998</v>
      </c>
      <c r="AH282" s="3">
        <v>3.4517000000000002</v>
      </c>
      <c r="AI282" s="3">
        <v>9.3256300000000003</v>
      </c>
      <c r="AJ282" s="3">
        <v>5.2939199999999999E-2</v>
      </c>
      <c r="AK282" s="3">
        <v>1.0229699999999999</v>
      </c>
      <c r="AL282" s="3">
        <v>4.4316000000000004</v>
      </c>
      <c r="AM282" s="3">
        <v>4.7246400000000001E-2</v>
      </c>
      <c r="AN282" s="3">
        <v>5.0098700000000003</v>
      </c>
      <c r="AO282" s="3">
        <v>0.809249</v>
      </c>
      <c r="AP282" s="3">
        <v>4.12311E-2</v>
      </c>
      <c r="AQ282" s="3">
        <v>1.7943100000000001</v>
      </c>
      <c r="AR282" s="3">
        <v>0.53949899999999995</v>
      </c>
      <c r="AS282" s="3">
        <v>3.6742299999999999E-2</v>
      </c>
      <c r="AT282" s="3">
        <v>2.3012199999999998</v>
      </c>
      <c r="AU282" s="3">
        <v>7.9768800000000004</v>
      </c>
      <c r="AV282" s="3">
        <v>0.35962499999999997</v>
      </c>
      <c r="AW282" s="3">
        <v>2.85751</v>
      </c>
      <c r="AX282" s="3">
        <v>7.2832400000000002</v>
      </c>
      <c r="AY282" s="3">
        <v>0.78015699999999999</v>
      </c>
      <c r="AZ282" s="21">
        <v>4.8054399999999999</v>
      </c>
      <c r="BA282" s="3">
        <v>31.172999999999998</v>
      </c>
      <c r="BB282" s="3">
        <v>8</v>
      </c>
    </row>
    <row r="283" spans="1:54" s="3" customFormat="1" ht="78.75" customHeight="1" x14ac:dyDescent="0.25">
      <c r="A283" s="2">
        <v>281</v>
      </c>
      <c r="B283" s="3">
        <v>7</v>
      </c>
      <c r="C283" s="2">
        <v>1</v>
      </c>
      <c r="D283" s="9">
        <v>72</v>
      </c>
      <c r="E283" s="3" t="s">
        <v>53</v>
      </c>
      <c r="F283" s="3">
        <f t="shared" ref="F283:F290" si="38">IF(E283="Happy", 1,2)</f>
        <v>2</v>
      </c>
      <c r="G283" s="11"/>
      <c r="H283" s="3" t="s">
        <v>54</v>
      </c>
      <c r="I283" s="3">
        <f t="shared" si="34"/>
        <v>1</v>
      </c>
      <c r="J283" s="3" t="s">
        <v>63</v>
      </c>
      <c r="K283" s="3">
        <v>9</v>
      </c>
      <c r="L283" s="6" t="s">
        <v>143</v>
      </c>
      <c r="M283" s="3">
        <v>88</v>
      </c>
      <c r="N283" s="3">
        <f t="shared" si="35"/>
        <v>0.88</v>
      </c>
      <c r="O283" s="3">
        <v>86</v>
      </c>
      <c r="P283" s="3">
        <v>0.86</v>
      </c>
      <c r="Q283" s="17">
        <v>0.24583333333333329</v>
      </c>
      <c r="R283" s="21">
        <v>0.27782638463616077</v>
      </c>
      <c r="S283" s="3">
        <v>11</v>
      </c>
      <c r="T283" s="3">
        <v>354.76</v>
      </c>
      <c r="U283" s="3">
        <v>398.32</v>
      </c>
      <c r="V283" s="26">
        <v>-0.29327267605459301</v>
      </c>
      <c r="W283" s="18">
        <v>-0.53774752039159601</v>
      </c>
      <c r="X283" s="18">
        <v>0.13151065815482399</v>
      </c>
      <c r="Y283" s="18">
        <v>1.1063907684304299</v>
      </c>
      <c r="Z283" s="18">
        <v>-0.97825151051060799</v>
      </c>
      <c r="AA283" s="18">
        <v>-0.780915675359103</v>
      </c>
      <c r="AB283" s="18">
        <v>6.0287442600475097E-2</v>
      </c>
      <c r="AC283" s="18">
        <v>0.20559746722703001</v>
      </c>
      <c r="AD283" s="18">
        <v>0.121551259195087</v>
      </c>
      <c r="AE283" s="21">
        <v>0.73892420216527499</v>
      </c>
      <c r="AF283" s="3">
        <v>0.77134999999999998</v>
      </c>
      <c r="AG283" s="3">
        <v>0.20791100000000001</v>
      </c>
      <c r="AH283" s="3">
        <v>2.6739999999999999</v>
      </c>
      <c r="AI283" s="3">
        <v>12.6722</v>
      </c>
      <c r="AJ283" s="3">
        <v>0.24834899999999999</v>
      </c>
      <c r="AK283" s="3">
        <v>1.4702599999999999</v>
      </c>
      <c r="AL283" s="3">
        <v>1.5978000000000001</v>
      </c>
      <c r="AM283" s="3">
        <v>0.22950699999999999</v>
      </c>
      <c r="AN283" s="3">
        <v>7.2235100000000001</v>
      </c>
      <c r="AO283" s="3">
        <v>9.7245200000000001</v>
      </c>
      <c r="AP283" s="3">
        <v>0.15553900000000001</v>
      </c>
      <c r="AQ283" s="3">
        <v>2.0937700000000001</v>
      </c>
      <c r="AR283" s="3">
        <v>4.6556499999999996</v>
      </c>
      <c r="AS283" s="3">
        <v>0.10911800000000001</v>
      </c>
      <c r="AT283" s="3">
        <v>2.5667300000000002</v>
      </c>
      <c r="AU283" s="3">
        <v>11.046799999999999</v>
      </c>
      <c r="AV283" s="3">
        <v>0.12617999999999999</v>
      </c>
      <c r="AW283" s="3">
        <v>1.8006</v>
      </c>
      <c r="AX283" s="3">
        <v>5.5647399999999996</v>
      </c>
      <c r="AY283" s="3">
        <v>1.0152300000000001</v>
      </c>
      <c r="AZ283" s="21">
        <v>5.5286099999999996</v>
      </c>
      <c r="BA283" s="3">
        <v>43.561</v>
      </c>
      <c r="BB283" s="3">
        <v>9</v>
      </c>
    </row>
    <row r="284" spans="1:54" s="3" customFormat="1" ht="47.25" customHeight="1" x14ac:dyDescent="0.25">
      <c r="A284" s="2">
        <v>282</v>
      </c>
      <c r="B284" s="3">
        <v>7</v>
      </c>
      <c r="C284" s="2">
        <v>1</v>
      </c>
      <c r="D284" s="9">
        <v>72</v>
      </c>
      <c r="E284" s="3" t="s">
        <v>53</v>
      </c>
      <c r="F284" s="3">
        <f t="shared" si="38"/>
        <v>2</v>
      </c>
      <c r="G284" s="11"/>
      <c r="H284" s="3" t="s">
        <v>54</v>
      </c>
      <c r="I284" s="3">
        <f t="shared" si="34"/>
        <v>1</v>
      </c>
      <c r="J284" s="3" t="s">
        <v>64</v>
      </c>
      <c r="K284" s="3">
        <v>10</v>
      </c>
      <c r="L284" s="6" t="s">
        <v>146</v>
      </c>
      <c r="M284" s="3">
        <v>88</v>
      </c>
      <c r="N284" s="3">
        <f t="shared" si="35"/>
        <v>0.88</v>
      </c>
      <c r="O284" s="3">
        <v>86</v>
      </c>
      <c r="P284" s="3">
        <v>0.86</v>
      </c>
      <c r="Q284" s="17">
        <v>0.16388888888888889</v>
      </c>
      <c r="R284" s="21">
        <v>0.42484201856777393</v>
      </c>
      <c r="S284" s="3">
        <v>12</v>
      </c>
      <c r="T284" s="3">
        <v>398.32</v>
      </c>
      <c r="U284" s="3">
        <v>414.43</v>
      </c>
      <c r="V284" s="26">
        <v>-1.80321622008884</v>
      </c>
      <c r="W284" s="18">
        <v>-1.5042590863791101</v>
      </c>
      <c r="X284" s="18">
        <v>-1.10591585716764</v>
      </c>
      <c r="Y284" s="18">
        <v>4.6391865208798899E-2</v>
      </c>
      <c r="Z284" s="18">
        <v>-2.9012079938920801</v>
      </c>
      <c r="AA284" s="18">
        <v>-3.39399820241599</v>
      </c>
      <c r="AB284" s="18">
        <v>0.71947852761787501</v>
      </c>
      <c r="AC284" s="18">
        <v>3.6500034735296101</v>
      </c>
      <c r="AD284" s="18">
        <v>-0.17175937928706</v>
      </c>
      <c r="AE284" s="21">
        <v>0.56940000663999901</v>
      </c>
      <c r="AF284" s="3">
        <v>0</v>
      </c>
      <c r="AG284" s="3">
        <v>0.267349</v>
      </c>
      <c r="AH284" s="3">
        <v>-0.33747500000000002</v>
      </c>
      <c r="AI284" s="3">
        <v>5.1492500000000003</v>
      </c>
      <c r="AJ284" s="3">
        <v>0.13011300000000001</v>
      </c>
      <c r="AK284" s="3">
        <v>1.36955</v>
      </c>
      <c r="AL284" s="3">
        <v>0</v>
      </c>
      <c r="AM284" s="3">
        <v>0</v>
      </c>
      <c r="AN284" s="3">
        <v>-0.41372700000000001</v>
      </c>
      <c r="AO284" s="3">
        <v>0</v>
      </c>
      <c r="AP284" s="3">
        <v>0.18620100000000001</v>
      </c>
      <c r="AQ284" s="3">
        <v>-0.31508999999999998</v>
      </c>
      <c r="AR284" s="3">
        <v>0.89552200000000004</v>
      </c>
      <c r="AS284" s="3">
        <v>0.24135400000000001</v>
      </c>
      <c r="AT284" s="3">
        <v>3.2797299999999998</v>
      </c>
      <c r="AU284" s="3">
        <v>9.7761200000000006</v>
      </c>
      <c r="AV284" s="3">
        <v>0.12823999999999999</v>
      </c>
      <c r="AW284" s="3">
        <v>1.55891</v>
      </c>
      <c r="AX284" s="3">
        <v>0</v>
      </c>
      <c r="AY284" s="3">
        <v>0</v>
      </c>
      <c r="AZ284" s="21">
        <v>-0.55847800000000003</v>
      </c>
      <c r="BA284" s="3">
        <v>16.11</v>
      </c>
      <c r="BB284" s="3">
        <v>10</v>
      </c>
    </row>
    <row r="285" spans="1:54" s="3" customFormat="1" ht="94.5" customHeight="1" x14ac:dyDescent="0.25">
      <c r="A285" s="2">
        <v>283</v>
      </c>
      <c r="B285" s="3">
        <v>7</v>
      </c>
      <c r="C285" s="2">
        <v>1</v>
      </c>
      <c r="D285" s="9">
        <v>72</v>
      </c>
      <c r="E285" s="3" t="s">
        <v>53</v>
      </c>
      <c r="F285" s="3">
        <f t="shared" si="38"/>
        <v>2</v>
      </c>
      <c r="G285" s="11"/>
      <c r="H285" s="3" t="s">
        <v>54</v>
      </c>
      <c r="I285" s="3">
        <f t="shared" si="34"/>
        <v>1</v>
      </c>
      <c r="J285" s="3" t="s">
        <v>65</v>
      </c>
      <c r="K285" s="3">
        <v>11</v>
      </c>
      <c r="L285" s="6" t="s">
        <v>241</v>
      </c>
      <c r="M285" s="3">
        <v>88</v>
      </c>
      <c r="N285" s="3">
        <f t="shared" si="35"/>
        <v>0.88</v>
      </c>
      <c r="O285" s="3">
        <v>86</v>
      </c>
      <c r="P285" s="3">
        <v>0.86</v>
      </c>
      <c r="Q285" s="17">
        <v>-1.443402777777777E-2</v>
      </c>
      <c r="R285" s="21">
        <v>0.39252665443123591</v>
      </c>
      <c r="S285" s="3">
        <v>14</v>
      </c>
      <c r="T285" s="3">
        <v>417.06</v>
      </c>
      <c r="U285" s="3">
        <v>480.87</v>
      </c>
      <c r="V285" s="26">
        <v>0.159100376791531</v>
      </c>
      <c r="W285" s="18">
        <v>-9.4140060700489595E-2</v>
      </c>
      <c r="X285" s="18">
        <v>6.7587749446938003E-2</v>
      </c>
      <c r="Y285" s="18">
        <v>1.6797492253255699</v>
      </c>
      <c r="Z285" s="18">
        <v>0.65421088225434498</v>
      </c>
      <c r="AA285" s="18">
        <v>0.85537426437765196</v>
      </c>
      <c r="AB285" s="18">
        <v>0.34807742723232599</v>
      </c>
      <c r="AC285" s="18">
        <v>-1.0085760391383101</v>
      </c>
      <c r="AD285" s="18">
        <v>0.61666547340496802</v>
      </c>
      <c r="AE285" s="21">
        <v>0.61563387814689197</v>
      </c>
      <c r="AF285" s="3">
        <v>6.3761799999999997</v>
      </c>
      <c r="AG285" s="3">
        <v>0.50803200000000004</v>
      </c>
      <c r="AH285" s="3">
        <v>4.1765400000000001</v>
      </c>
      <c r="AI285" s="3">
        <v>18.601900000000001</v>
      </c>
      <c r="AJ285" s="3">
        <v>0.28091899999999997</v>
      </c>
      <c r="AK285" s="3">
        <v>1.5777300000000001</v>
      </c>
      <c r="AL285" s="3">
        <v>0</v>
      </c>
      <c r="AM285" s="3">
        <v>0</v>
      </c>
      <c r="AN285" s="3">
        <v>-0.41372700000000001</v>
      </c>
      <c r="AO285" s="3">
        <v>8.2194400000000005</v>
      </c>
      <c r="AP285" s="3">
        <v>4.8744200000000001E-2</v>
      </c>
      <c r="AQ285" s="3">
        <v>1.82576</v>
      </c>
      <c r="AR285" s="3">
        <v>5.3228799999999996</v>
      </c>
      <c r="AS285" s="3">
        <v>8.6552299999999999E-2</v>
      </c>
      <c r="AT285" s="3">
        <v>2.8457400000000002</v>
      </c>
      <c r="AU285" s="3">
        <v>7.8432599999999999</v>
      </c>
      <c r="AV285" s="3">
        <v>7.8797000000000006E-2</v>
      </c>
      <c r="AW285" s="3">
        <v>1.4185099999999999</v>
      </c>
      <c r="AX285" s="3">
        <v>5.7178699999999996</v>
      </c>
      <c r="AY285" s="3">
        <v>0.35356199999999999</v>
      </c>
      <c r="AZ285" s="21">
        <v>3.3841199999999998</v>
      </c>
      <c r="BA285" s="3">
        <v>63.807000000000002</v>
      </c>
      <c r="BB285" s="3">
        <v>11</v>
      </c>
    </row>
    <row r="286" spans="1:54" s="3" customFormat="1" ht="31.5" customHeight="1" x14ac:dyDescent="0.25">
      <c r="A286" s="2">
        <v>284</v>
      </c>
      <c r="B286" s="3">
        <v>7</v>
      </c>
      <c r="C286" s="2">
        <v>1</v>
      </c>
      <c r="D286" s="9">
        <v>72</v>
      </c>
      <c r="E286" s="3" t="s">
        <v>53</v>
      </c>
      <c r="F286" s="3">
        <f t="shared" si="38"/>
        <v>2</v>
      </c>
      <c r="G286" s="11"/>
      <c r="H286" s="3" t="s">
        <v>54</v>
      </c>
      <c r="I286" s="3">
        <f t="shared" si="34"/>
        <v>1</v>
      </c>
      <c r="J286" s="3" t="s">
        <v>66</v>
      </c>
      <c r="K286" s="3">
        <v>12</v>
      </c>
      <c r="L286" s="6" t="s">
        <v>174</v>
      </c>
      <c r="M286" s="3">
        <v>88</v>
      </c>
      <c r="N286" s="3">
        <f t="shared" si="35"/>
        <v>0.88</v>
      </c>
      <c r="O286" s="3">
        <v>86</v>
      </c>
      <c r="P286" s="3">
        <v>0.86</v>
      </c>
      <c r="Q286" s="17">
        <v>0.18333333333333329</v>
      </c>
      <c r="R286" s="21">
        <v>0.28867513459481281</v>
      </c>
      <c r="S286" s="3">
        <v>15</v>
      </c>
      <c r="T286" s="3">
        <v>480.87</v>
      </c>
      <c r="U286" s="3">
        <v>497.51</v>
      </c>
      <c r="V286" s="26">
        <v>0.47226234882799101</v>
      </c>
      <c r="W286" s="18">
        <v>1.58292450532315</v>
      </c>
      <c r="X286" s="18">
        <v>2.9865732573178501</v>
      </c>
      <c r="Y286" s="18">
        <v>-0.206168366428998</v>
      </c>
      <c r="Z286" s="18">
        <v>-1.3403042627452699</v>
      </c>
      <c r="AA286" s="18">
        <v>-0.72379589124110699</v>
      </c>
      <c r="AB286" s="18">
        <v>-3.25742259881115</v>
      </c>
      <c r="AC286" s="18">
        <v>1.64269227786768</v>
      </c>
      <c r="AD286" s="18">
        <v>0.249905165885278</v>
      </c>
      <c r="AE286" s="21">
        <v>0.41682823066725</v>
      </c>
      <c r="AF286" s="3">
        <v>0</v>
      </c>
      <c r="AG286" s="3">
        <v>7.7327599999999996E-2</v>
      </c>
      <c r="AH286" s="3">
        <v>-0.56360299999999997</v>
      </c>
      <c r="AI286" s="3">
        <v>5.2707600000000001</v>
      </c>
      <c r="AJ286" s="3">
        <v>7.5740799999999997E-2</v>
      </c>
      <c r="AK286" s="3">
        <v>1.05785</v>
      </c>
      <c r="AL286" s="3">
        <v>0</v>
      </c>
      <c r="AM286" s="3">
        <v>0</v>
      </c>
      <c r="AN286" s="3">
        <v>-0.41372700000000001</v>
      </c>
      <c r="AO286" s="3">
        <v>17.689499999999999</v>
      </c>
      <c r="AP286" s="3">
        <v>0.29618899999999998</v>
      </c>
      <c r="AQ286" s="3">
        <v>3.50143</v>
      </c>
      <c r="AR286" s="3">
        <v>18.772600000000001</v>
      </c>
      <c r="AS286" s="3">
        <v>0.196017</v>
      </c>
      <c r="AT286" s="3">
        <v>3.2223299999999999</v>
      </c>
      <c r="AU286" s="3">
        <v>5.5595699999999999</v>
      </c>
      <c r="AV286" s="3">
        <v>3.4948899999999998E-2</v>
      </c>
      <c r="AW286" s="3">
        <v>1.4126099999999999</v>
      </c>
      <c r="AX286" s="3">
        <v>0</v>
      </c>
      <c r="AY286" s="3">
        <v>0</v>
      </c>
      <c r="AZ286" s="21">
        <v>-0.55847800000000003</v>
      </c>
      <c r="BA286" s="3">
        <v>16.64</v>
      </c>
      <c r="BB286" s="3">
        <v>12</v>
      </c>
    </row>
    <row r="287" spans="1:54" s="3" customFormat="1" ht="63" customHeight="1" x14ac:dyDescent="0.25">
      <c r="A287" s="2">
        <v>285</v>
      </c>
      <c r="B287" s="3">
        <v>7</v>
      </c>
      <c r="C287" s="2">
        <v>1</v>
      </c>
      <c r="D287" s="9">
        <v>72</v>
      </c>
      <c r="E287" s="3" t="s">
        <v>53</v>
      </c>
      <c r="F287" s="3">
        <f t="shared" si="38"/>
        <v>2</v>
      </c>
      <c r="G287" s="11" t="s">
        <v>76</v>
      </c>
      <c r="H287" s="3" t="s">
        <v>76</v>
      </c>
      <c r="I287" s="3">
        <f t="shared" si="34"/>
        <v>2</v>
      </c>
      <c r="J287" s="3" t="s">
        <v>77</v>
      </c>
      <c r="K287" s="3">
        <v>1</v>
      </c>
      <c r="L287" s="6" t="s">
        <v>183</v>
      </c>
      <c r="M287" s="3">
        <v>-100</v>
      </c>
      <c r="N287" s="3">
        <f t="shared" si="35"/>
        <v>-1</v>
      </c>
      <c r="O287" s="3">
        <v>-1</v>
      </c>
      <c r="P287" s="3">
        <v>-0.01</v>
      </c>
      <c r="Q287" s="17">
        <v>-0.18559523809523809</v>
      </c>
      <c r="R287" s="21">
        <v>0.58412205119624572</v>
      </c>
      <c r="S287" s="3">
        <v>2</v>
      </c>
      <c r="T287" s="3">
        <v>36.35</v>
      </c>
      <c r="U287" s="3">
        <v>89.55</v>
      </c>
      <c r="V287" s="26">
        <v>-0.73101107658645403</v>
      </c>
      <c r="W287" s="18">
        <v>-1.01443492262058</v>
      </c>
      <c r="X287" s="18">
        <v>-0.91358253835612901</v>
      </c>
      <c r="Y287" s="18">
        <v>-0.16596901921498999</v>
      </c>
      <c r="Z287" s="18">
        <v>-0.32704335010466701</v>
      </c>
      <c r="AA287" s="18">
        <v>-0.203924677779587</v>
      </c>
      <c r="AB287" s="18">
        <v>0.28705092320520098</v>
      </c>
      <c r="AC287" s="18">
        <v>-4.4169542898500398E-2</v>
      </c>
      <c r="AD287" s="18">
        <v>0.74575143659719401</v>
      </c>
      <c r="AE287" s="21">
        <v>0.41991048876770998</v>
      </c>
      <c r="AF287" s="3">
        <v>0.13538900000000001</v>
      </c>
      <c r="AG287" s="3">
        <v>4.5898399999999999E-2</v>
      </c>
      <c r="AH287" s="3">
        <v>2.7173799999999999</v>
      </c>
      <c r="AI287" s="3">
        <v>30.4175</v>
      </c>
      <c r="AJ287" s="3">
        <v>0.22490099999999999</v>
      </c>
      <c r="AK287" s="3">
        <v>1.6529700000000001</v>
      </c>
      <c r="AL287" s="3">
        <v>0</v>
      </c>
      <c r="AM287" s="3">
        <v>0</v>
      </c>
      <c r="AN287" s="3">
        <v>-0.46612599999999998</v>
      </c>
      <c r="AO287" s="3">
        <v>0</v>
      </c>
      <c r="AP287" s="3">
        <v>0.15755</v>
      </c>
      <c r="AQ287" s="3">
        <v>-0.56482399999999999</v>
      </c>
      <c r="AR287" s="3">
        <v>0</v>
      </c>
      <c r="AS287" s="3">
        <v>0.12192799999999999</v>
      </c>
      <c r="AT287" s="3">
        <v>-0.25972600000000001</v>
      </c>
      <c r="AU287" s="3">
        <v>1.17337</v>
      </c>
      <c r="AV287" s="3">
        <v>7.5592900000000005E-2</v>
      </c>
      <c r="AW287" s="3">
        <v>1.68472</v>
      </c>
      <c r="AX287" s="3">
        <v>17.736000000000001</v>
      </c>
      <c r="AY287" s="3">
        <v>0.335144</v>
      </c>
      <c r="AZ287" s="21">
        <v>3.2251799999999999</v>
      </c>
      <c r="BA287" s="3">
        <v>53.201999999999998</v>
      </c>
      <c r="BB287" s="3">
        <v>1</v>
      </c>
    </row>
    <row r="288" spans="1:54" s="3" customFormat="1" ht="110.25" customHeight="1" x14ac:dyDescent="0.25">
      <c r="A288" s="2">
        <v>286</v>
      </c>
      <c r="B288" s="3">
        <v>7</v>
      </c>
      <c r="C288" s="2">
        <v>1</v>
      </c>
      <c r="D288" s="9">
        <v>72</v>
      </c>
      <c r="E288" s="3" t="s">
        <v>53</v>
      </c>
      <c r="F288" s="3">
        <f t="shared" si="38"/>
        <v>2</v>
      </c>
      <c r="G288" s="11"/>
      <c r="H288" s="3" t="s">
        <v>76</v>
      </c>
      <c r="I288" s="3">
        <f t="shared" si="34"/>
        <v>2</v>
      </c>
      <c r="J288" s="3" t="s">
        <v>78</v>
      </c>
      <c r="K288" s="3">
        <v>2</v>
      </c>
      <c r="L288" s="6" t="s">
        <v>189</v>
      </c>
      <c r="M288" s="3">
        <v>-100</v>
      </c>
      <c r="N288" s="3">
        <f t="shared" si="35"/>
        <v>-1</v>
      </c>
      <c r="O288" s="3">
        <v>-1</v>
      </c>
      <c r="P288" s="3">
        <v>-0.01</v>
      </c>
      <c r="Q288" s="17">
        <v>0.30025000000000002</v>
      </c>
      <c r="R288" s="21">
        <v>0.27448744441751272</v>
      </c>
      <c r="S288" s="3">
        <v>3</v>
      </c>
      <c r="T288" s="3">
        <v>89.55</v>
      </c>
      <c r="U288" s="3">
        <v>151.44</v>
      </c>
      <c r="V288" s="26">
        <v>-1.9489191543151601</v>
      </c>
      <c r="W288" s="18">
        <v>-1.7819014914350499</v>
      </c>
      <c r="X288" s="18">
        <v>-1.3482179239465599</v>
      </c>
      <c r="Y288" s="18">
        <v>0.60859858773810205</v>
      </c>
      <c r="Z288" s="18">
        <v>-0.74799812992977399</v>
      </c>
      <c r="AA288" s="18">
        <v>-0.42897219931424602</v>
      </c>
      <c r="AB288" s="18">
        <v>-1.3808466789849501</v>
      </c>
      <c r="AC288" s="18">
        <v>-0.476419388993299</v>
      </c>
      <c r="AD288" s="18">
        <v>-0.74227541320657697</v>
      </c>
      <c r="AE288" s="21">
        <v>1.7622338915178499</v>
      </c>
      <c r="AF288" s="3">
        <v>1.3186800000000001</v>
      </c>
      <c r="AG288" s="3">
        <v>0.28195599999999998</v>
      </c>
      <c r="AH288" s="3">
        <v>3.6631499999999999</v>
      </c>
      <c r="AI288" s="3">
        <v>8.6102100000000004</v>
      </c>
      <c r="AJ288" s="3">
        <v>9.6878699999999998E-2</v>
      </c>
      <c r="AK288" s="3">
        <v>0.64610500000000004</v>
      </c>
      <c r="AL288" s="3">
        <v>0</v>
      </c>
      <c r="AM288" s="3">
        <v>0</v>
      </c>
      <c r="AN288" s="3">
        <v>-0.46612599999999998</v>
      </c>
      <c r="AO288" s="3">
        <v>0</v>
      </c>
      <c r="AP288" s="3">
        <v>0.14056199999999999</v>
      </c>
      <c r="AQ288" s="3">
        <v>-0.64511799999999997</v>
      </c>
      <c r="AR288" s="3">
        <v>0</v>
      </c>
      <c r="AS288" s="3">
        <v>0</v>
      </c>
      <c r="AT288" s="3">
        <v>-0.50583800000000001</v>
      </c>
      <c r="AU288" s="3">
        <v>0.523594</v>
      </c>
      <c r="AV288" s="3">
        <v>0.40411599999999998</v>
      </c>
      <c r="AW288" s="3">
        <v>2.2789600000000001</v>
      </c>
      <c r="AX288" s="3">
        <v>3.06399</v>
      </c>
      <c r="AY288" s="3">
        <v>0.249891</v>
      </c>
      <c r="AZ288" s="21">
        <v>2.4039899999999998</v>
      </c>
      <c r="BA288" s="3">
        <v>61.89</v>
      </c>
      <c r="BB288" s="3">
        <v>2</v>
      </c>
    </row>
    <row r="289" spans="1:54" s="3" customFormat="1" ht="63" customHeight="1" x14ac:dyDescent="0.25">
      <c r="A289" s="2">
        <v>287</v>
      </c>
      <c r="B289" s="3">
        <v>7</v>
      </c>
      <c r="C289" s="2">
        <v>1</v>
      </c>
      <c r="D289" s="9">
        <v>72</v>
      </c>
      <c r="E289" s="3" t="s">
        <v>53</v>
      </c>
      <c r="F289" s="3">
        <f t="shared" si="38"/>
        <v>2</v>
      </c>
      <c r="G289" s="11"/>
      <c r="H289" s="3" t="s">
        <v>76</v>
      </c>
      <c r="I289" s="3">
        <f t="shared" si="34"/>
        <v>2</v>
      </c>
      <c r="J289" s="3" t="s">
        <v>79</v>
      </c>
      <c r="K289" s="3">
        <v>3</v>
      </c>
      <c r="L289" s="6" t="s">
        <v>149</v>
      </c>
      <c r="M289" s="3">
        <v>-100</v>
      </c>
      <c r="N289" s="3">
        <f t="shared" si="35"/>
        <v>-1</v>
      </c>
      <c r="O289" s="3">
        <v>-1</v>
      </c>
      <c r="P289" s="3">
        <v>-0.01</v>
      </c>
      <c r="Q289" s="17">
        <v>4.3749999999999997E-2</v>
      </c>
      <c r="R289" s="21">
        <v>0.24574504064171879</v>
      </c>
      <c r="S289" s="3">
        <v>4</v>
      </c>
      <c r="T289" s="3">
        <v>151.44</v>
      </c>
      <c r="U289" s="3">
        <v>193.85</v>
      </c>
      <c r="V289" s="26">
        <v>-0.565818591046783</v>
      </c>
      <c r="W289" s="18">
        <v>0.26705393297371799</v>
      </c>
      <c r="X289" s="18">
        <v>-2.5101845234832599E-2</v>
      </c>
      <c r="Y289" s="18">
        <v>-0.42033476975011702</v>
      </c>
      <c r="Z289" s="18">
        <v>-1.67375789001349</v>
      </c>
      <c r="AA289" s="18">
        <v>-1.6332107487166301</v>
      </c>
      <c r="AB289" s="18">
        <v>-0.57033432700265196</v>
      </c>
      <c r="AC289" s="18">
        <v>0.33065088182049501</v>
      </c>
      <c r="AD289" s="18">
        <v>2.8824102270614702E-2</v>
      </c>
      <c r="AE289" s="21">
        <v>1.6004153412437201</v>
      </c>
      <c r="AF289" s="3">
        <v>1.78386</v>
      </c>
      <c r="AG289" s="3">
        <v>0.10447099999999999</v>
      </c>
      <c r="AH289" s="3">
        <v>2.7999100000000001</v>
      </c>
      <c r="AI289" s="3">
        <v>9.1458200000000005</v>
      </c>
      <c r="AJ289" s="3">
        <v>7.61265E-2</v>
      </c>
      <c r="AK289" s="3">
        <v>0.60394400000000004</v>
      </c>
      <c r="AL289" s="3">
        <v>0</v>
      </c>
      <c r="AM289" s="3">
        <v>7.5718800000000003E-2</v>
      </c>
      <c r="AN289" s="3">
        <v>2.4931399999999999</v>
      </c>
      <c r="AO289" s="3">
        <v>0.53798999999999997</v>
      </c>
      <c r="AP289" s="3">
        <v>0.456125</v>
      </c>
      <c r="AQ289" s="3">
        <v>3.2755800000000002</v>
      </c>
      <c r="AR289" s="3">
        <v>0</v>
      </c>
      <c r="AS289" s="3">
        <v>0.41197099999999998</v>
      </c>
      <c r="AT289" s="3">
        <v>1.46756</v>
      </c>
      <c r="AU289" s="3">
        <v>0</v>
      </c>
      <c r="AV289" s="3">
        <v>0.45205200000000001</v>
      </c>
      <c r="AW289" s="3">
        <v>0.53222199999999997</v>
      </c>
      <c r="AX289" s="3">
        <v>0.65125100000000002</v>
      </c>
      <c r="AY289" s="3">
        <v>0.74373199999999995</v>
      </c>
      <c r="AZ289" s="21">
        <v>3.9364699999999999</v>
      </c>
      <c r="BA289" s="3">
        <v>42.406999999999996</v>
      </c>
      <c r="BB289" s="3">
        <v>3</v>
      </c>
    </row>
    <row r="290" spans="1:54" s="3" customFormat="1" ht="157.5" customHeight="1" x14ac:dyDescent="0.25">
      <c r="A290" s="2">
        <v>288</v>
      </c>
      <c r="B290" s="3">
        <v>7</v>
      </c>
      <c r="C290" s="2">
        <v>1</v>
      </c>
      <c r="D290" s="9">
        <v>72</v>
      </c>
      <c r="E290" s="3" t="s">
        <v>53</v>
      </c>
      <c r="F290" s="3">
        <f t="shared" si="38"/>
        <v>2</v>
      </c>
      <c r="G290" s="11"/>
      <c r="H290" s="3" t="s">
        <v>76</v>
      </c>
      <c r="I290" s="3">
        <f t="shared" si="34"/>
        <v>2</v>
      </c>
      <c r="J290" s="3" t="s">
        <v>80</v>
      </c>
      <c r="K290" s="3">
        <v>4</v>
      </c>
      <c r="L290" s="6" t="s">
        <v>195</v>
      </c>
      <c r="M290" s="3">
        <v>-100</v>
      </c>
      <c r="N290" s="3">
        <f t="shared" si="35"/>
        <v>-1</v>
      </c>
      <c r="O290" s="3">
        <v>-1</v>
      </c>
      <c r="P290" s="3">
        <v>-0.01</v>
      </c>
      <c r="Q290" s="17">
        <v>0.2315277777777778</v>
      </c>
      <c r="R290" s="21">
        <v>0.28574504629386221</v>
      </c>
      <c r="S290" s="3">
        <v>5</v>
      </c>
      <c r="T290" s="3">
        <v>193.85</v>
      </c>
      <c r="U290" s="3">
        <v>276.01</v>
      </c>
      <c r="V290" s="26">
        <v>-0.48371903102757502</v>
      </c>
      <c r="W290" s="18">
        <v>-0.16747086203586201</v>
      </c>
      <c r="X290" s="18">
        <v>6.0459192989710898E-2</v>
      </c>
      <c r="Y290" s="18">
        <v>-1.32208525197077</v>
      </c>
      <c r="Z290" s="18">
        <v>-1.4549441594192301</v>
      </c>
      <c r="AA290" s="18">
        <v>-1.19975719313905</v>
      </c>
      <c r="AB290" s="18">
        <v>-1.27277254085817</v>
      </c>
      <c r="AC290" s="18">
        <v>1.03237724360175</v>
      </c>
      <c r="AD290" s="18">
        <v>0.64277548864422696</v>
      </c>
      <c r="AE290" s="21">
        <v>-0.65117420114198798</v>
      </c>
      <c r="AF290" s="3">
        <v>0</v>
      </c>
      <c r="AG290" s="3">
        <v>0.29721900000000001</v>
      </c>
      <c r="AH290" s="3">
        <v>-0.34303400000000001</v>
      </c>
      <c r="AI290" s="3">
        <v>18.4222</v>
      </c>
      <c r="AJ290" s="3">
        <v>0.261712</v>
      </c>
      <c r="AK290" s="3">
        <v>1.04443</v>
      </c>
      <c r="AL290" s="3">
        <v>0</v>
      </c>
      <c r="AM290" s="3">
        <v>4.83046E-3</v>
      </c>
      <c r="AN290" s="3">
        <v>-0.45555800000000002</v>
      </c>
      <c r="AO290" s="3">
        <v>1.37327</v>
      </c>
      <c r="AP290" s="3">
        <v>9.0829499999999994E-2</v>
      </c>
      <c r="AQ290" s="3">
        <v>2.1306400000000001</v>
      </c>
      <c r="AR290" s="3">
        <v>0</v>
      </c>
      <c r="AS290" s="3">
        <v>4.8825500000000001E-2</v>
      </c>
      <c r="AT290" s="3">
        <v>0.52720299999999998</v>
      </c>
      <c r="AU290" s="3">
        <v>0.32140200000000002</v>
      </c>
      <c r="AV290" s="3">
        <v>0.11740200000000001</v>
      </c>
      <c r="AW290" s="3">
        <v>2.0917300000000001</v>
      </c>
      <c r="AX290" s="3">
        <v>3.1701999999999999</v>
      </c>
      <c r="AY290" s="3">
        <v>0.14260700000000001</v>
      </c>
      <c r="AZ290" s="21">
        <v>2.4770500000000002</v>
      </c>
      <c r="BA290" s="3">
        <v>82.164000000000001</v>
      </c>
      <c r="BB290" s="3">
        <v>4</v>
      </c>
    </row>
    <row r="291" spans="1:54" s="3" customFormat="1" ht="173.25" customHeight="1" x14ac:dyDescent="0.25">
      <c r="A291" s="2">
        <v>289</v>
      </c>
      <c r="B291" s="3">
        <v>7</v>
      </c>
      <c r="C291" s="2">
        <v>1</v>
      </c>
      <c r="D291" s="9">
        <v>72</v>
      </c>
      <c r="E291" s="3" t="s">
        <v>53</v>
      </c>
      <c r="F291" s="3">
        <f>IF(E292="Happy", 1,2)</f>
        <v>2</v>
      </c>
      <c r="G291" s="11"/>
      <c r="H291" s="3" t="s">
        <v>76</v>
      </c>
      <c r="I291" s="3">
        <f t="shared" si="34"/>
        <v>2</v>
      </c>
      <c r="J291" s="3" t="s">
        <v>81</v>
      </c>
      <c r="K291" s="3">
        <v>5</v>
      </c>
      <c r="L291" s="6" t="s">
        <v>242</v>
      </c>
      <c r="M291" s="3">
        <v>-100</v>
      </c>
      <c r="N291" s="3">
        <f t="shared" si="35"/>
        <v>-1</v>
      </c>
      <c r="O291" s="3">
        <v>-1</v>
      </c>
      <c r="P291" s="3">
        <v>-0.01</v>
      </c>
      <c r="Q291" s="17">
        <v>3.7698412698412682E-3</v>
      </c>
      <c r="R291" s="21">
        <v>0.37214166387199638</v>
      </c>
      <c r="S291" s="3">
        <v>6</v>
      </c>
      <c r="T291" s="3">
        <v>276.01</v>
      </c>
      <c r="U291" s="3">
        <v>338.59</v>
      </c>
      <c r="V291" s="26">
        <v>-0.87469929768346699</v>
      </c>
      <c r="W291" s="18">
        <v>-0.79917353805545499</v>
      </c>
      <c r="X291" s="18">
        <v>-9.8853837694701692E-3</v>
      </c>
      <c r="Y291" s="18">
        <v>-1.2488024261381101</v>
      </c>
      <c r="Z291" s="18">
        <v>-1.0291214434296301</v>
      </c>
      <c r="AA291" s="18">
        <v>-0.80434659455479196</v>
      </c>
      <c r="AB291" s="18">
        <v>-0.56884907207285795</v>
      </c>
      <c r="AC291" s="18">
        <v>0.77989168098505601</v>
      </c>
      <c r="AD291" s="18">
        <v>-0.430663362173547</v>
      </c>
      <c r="AE291" s="21">
        <v>1.6959653423579699</v>
      </c>
      <c r="AF291" s="3">
        <v>1.8414299999999999</v>
      </c>
      <c r="AG291" s="3">
        <v>0.19864999999999999</v>
      </c>
      <c r="AH291" s="3">
        <v>2.95696</v>
      </c>
      <c r="AI291" s="3">
        <v>9.3989799999999999</v>
      </c>
      <c r="AJ291" s="3">
        <v>0.25322099999999997</v>
      </c>
      <c r="AK291" s="3">
        <v>1.21235</v>
      </c>
      <c r="AL291" s="3">
        <v>0</v>
      </c>
      <c r="AM291" s="3">
        <v>0</v>
      </c>
      <c r="AN291" s="3">
        <v>-0.46612599999999998</v>
      </c>
      <c r="AO291" s="3">
        <v>0.517903</v>
      </c>
      <c r="AP291" s="3">
        <v>0.28631499999999999</v>
      </c>
      <c r="AQ291" s="3">
        <v>2.8212199999999998</v>
      </c>
      <c r="AR291" s="3">
        <v>0</v>
      </c>
      <c r="AS291" s="3">
        <v>0.39414300000000002</v>
      </c>
      <c r="AT291" s="3">
        <v>1.1560699999999999</v>
      </c>
      <c r="AU291" s="3">
        <v>0.613811</v>
      </c>
      <c r="AV291" s="3">
        <v>0.21393100000000001</v>
      </c>
      <c r="AW291" s="3">
        <v>2.0917300000000001</v>
      </c>
      <c r="AX291" s="3">
        <v>0.268542</v>
      </c>
      <c r="AY291" s="3">
        <v>0.205234</v>
      </c>
      <c r="AZ291" s="21">
        <v>2.78091</v>
      </c>
      <c r="BA291" s="3">
        <v>62.576000000000001</v>
      </c>
      <c r="BB291" s="3">
        <v>5</v>
      </c>
    </row>
    <row r="292" spans="1:54" s="3" customFormat="1" ht="47.25" customHeight="1" x14ac:dyDescent="0.25">
      <c r="A292" s="2">
        <v>290</v>
      </c>
      <c r="B292" s="3">
        <v>7</v>
      </c>
      <c r="C292" s="2">
        <v>1</v>
      </c>
      <c r="D292" s="9">
        <v>72</v>
      </c>
      <c r="E292" s="3" t="s">
        <v>53</v>
      </c>
      <c r="F292" s="3">
        <f>IF(E293="Happy", 1,2)</f>
        <v>2</v>
      </c>
      <c r="G292" s="11"/>
      <c r="H292" s="3" t="s">
        <v>76</v>
      </c>
      <c r="I292" s="3">
        <f t="shared" si="34"/>
        <v>2</v>
      </c>
      <c r="J292" s="3" t="s">
        <v>82</v>
      </c>
      <c r="K292" s="3">
        <v>6</v>
      </c>
      <c r="L292" s="6" t="s">
        <v>168</v>
      </c>
      <c r="M292" s="3">
        <v>-100</v>
      </c>
      <c r="N292" s="3">
        <f t="shared" si="35"/>
        <v>-1</v>
      </c>
      <c r="O292" s="3">
        <v>-1</v>
      </c>
      <c r="P292" s="3">
        <v>-0.01</v>
      </c>
      <c r="Q292" s="17">
        <v>-0.28333333333333333</v>
      </c>
      <c r="R292" s="21">
        <v>0.44990739787945988</v>
      </c>
      <c r="S292" s="3">
        <v>7</v>
      </c>
      <c r="T292" s="3">
        <v>338.59</v>
      </c>
      <c r="U292" s="3">
        <v>379.52</v>
      </c>
      <c r="V292" s="26">
        <v>0.49610312085810898</v>
      </c>
      <c r="W292" s="18">
        <v>-0.50327653911870895</v>
      </c>
      <c r="X292" s="18">
        <v>-8.46457179735014E-2</v>
      </c>
      <c r="Y292" s="18">
        <v>-0.33839607390967602</v>
      </c>
      <c r="Z292" s="18">
        <v>-0.51737965413660503</v>
      </c>
      <c r="AA292" s="18">
        <v>-8.3117072351733601E-2</v>
      </c>
      <c r="AB292" s="18">
        <v>0.25284637585141601</v>
      </c>
      <c r="AC292" s="18">
        <v>0.50259932688650699</v>
      </c>
      <c r="AD292" s="18">
        <v>2.4736488002345398</v>
      </c>
      <c r="AE292" s="21">
        <v>0.30278468095024702</v>
      </c>
      <c r="AF292" s="3">
        <v>3.4017599999999999</v>
      </c>
      <c r="AG292" s="3">
        <v>7.8810599999999995E-2</v>
      </c>
      <c r="AH292" s="3">
        <v>2.5501100000000001</v>
      </c>
      <c r="AI292" s="3">
        <v>17.2727</v>
      </c>
      <c r="AJ292" s="3">
        <v>0.144152</v>
      </c>
      <c r="AK292" s="3">
        <v>0.92789699999999997</v>
      </c>
      <c r="AL292" s="3">
        <v>0.762463</v>
      </c>
      <c r="AM292" s="3">
        <v>0.33138400000000001</v>
      </c>
      <c r="AN292" s="3">
        <v>8.1271100000000001</v>
      </c>
      <c r="AO292" s="3">
        <v>0.70381199999999999</v>
      </c>
      <c r="AP292" s="3">
        <v>0.161191</v>
      </c>
      <c r="AQ292" s="3">
        <v>2.6706500000000002</v>
      </c>
      <c r="AR292" s="3">
        <v>0.41055700000000001</v>
      </c>
      <c r="AS292" s="3">
        <v>2.7305800000000002E-2</v>
      </c>
      <c r="AT292" s="3">
        <v>2.45099</v>
      </c>
      <c r="AU292" s="3">
        <v>1.0263899999999999</v>
      </c>
      <c r="AV292" s="3">
        <v>0.178394</v>
      </c>
      <c r="AW292" s="3">
        <v>1.96759</v>
      </c>
      <c r="AX292" s="3">
        <v>0</v>
      </c>
      <c r="AY292" s="3">
        <v>0</v>
      </c>
      <c r="AZ292" s="21">
        <v>-0.57160999999999995</v>
      </c>
      <c r="BA292" s="3">
        <v>40.935000000000002</v>
      </c>
      <c r="BB292" s="3">
        <v>6</v>
      </c>
    </row>
    <row r="293" spans="1:54" s="3" customFormat="1" ht="94.5" customHeight="1" x14ac:dyDescent="0.25">
      <c r="A293" s="2">
        <v>291</v>
      </c>
      <c r="B293" s="3">
        <v>7</v>
      </c>
      <c r="C293" s="2">
        <v>1</v>
      </c>
      <c r="D293" s="9">
        <v>72</v>
      </c>
      <c r="E293" s="3" t="s">
        <v>53</v>
      </c>
      <c r="F293" s="3">
        <f t="shared" ref="F293:F300" si="39">IF(E293="Happy", 1,2)</f>
        <v>2</v>
      </c>
      <c r="G293" s="11"/>
      <c r="H293" s="3" t="s">
        <v>76</v>
      </c>
      <c r="I293" s="3">
        <f t="shared" si="34"/>
        <v>2</v>
      </c>
      <c r="J293" s="3" t="s">
        <v>83</v>
      </c>
      <c r="K293" s="3">
        <v>7</v>
      </c>
      <c r="L293" s="6" t="s">
        <v>188</v>
      </c>
      <c r="M293" s="3">
        <v>-100</v>
      </c>
      <c r="N293" s="3">
        <f t="shared" si="35"/>
        <v>-1</v>
      </c>
      <c r="O293" s="3">
        <v>-1</v>
      </c>
      <c r="P293" s="3">
        <v>-0.01</v>
      </c>
      <c r="Q293" s="17">
        <v>0.24015151515151509</v>
      </c>
      <c r="R293" s="21">
        <v>0.28661865348447318</v>
      </c>
      <c r="S293" s="3">
        <v>8</v>
      </c>
      <c r="T293" s="3">
        <v>379.52</v>
      </c>
      <c r="U293" s="3">
        <v>425.09</v>
      </c>
      <c r="V293" s="26">
        <v>3.0860288409197299E-3</v>
      </c>
      <c r="W293" s="18">
        <v>0.58206841612956595</v>
      </c>
      <c r="X293" s="18">
        <v>-0.11747471718926999</v>
      </c>
      <c r="Y293" s="18">
        <v>-1.02183808004476</v>
      </c>
      <c r="Z293" s="18">
        <v>-0.75140568524492501</v>
      </c>
      <c r="AA293" s="18">
        <v>-0.50509501238622501</v>
      </c>
      <c r="AB293" s="18">
        <v>-1.6052949092579401</v>
      </c>
      <c r="AC293" s="18">
        <v>0.74760887015250399</v>
      </c>
      <c r="AD293" s="18">
        <v>-0.503624993543067</v>
      </c>
      <c r="AE293" s="21">
        <v>0.182576615032324</v>
      </c>
      <c r="AF293" s="3">
        <v>4.0579700000000001</v>
      </c>
      <c r="AG293" s="3">
        <v>0.113608</v>
      </c>
      <c r="AH293" s="3">
        <v>3.1531600000000002</v>
      </c>
      <c r="AI293" s="3">
        <v>17.285900000000002</v>
      </c>
      <c r="AJ293" s="3">
        <v>0.13938999999999999</v>
      </c>
      <c r="AK293" s="3">
        <v>0.975437</v>
      </c>
      <c r="AL293" s="3">
        <v>0</v>
      </c>
      <c r="AM293" s="3">
        <v>0.245037</v>
      </c>
      <c r="AN293" s="3">
        <v>0.16139600000000001</v>
      </c>
      <c r="AO293" s="3">
        <v>0.18445300000000001</v>
      </c>
      <c r="AP293" s="3">
        <v>0.11414299999999999</v>
      </c>
      <c r="AQ293" s="3">
        <v>2.1952400000000001</v>
      </c>
      <c r="AR293" s="3">
        <v>0</v>
      </c>
      <c r="AS293" s="3">
        <v>3.5118799999999999E-2</v>
      </c>
      <c r="AT293" s="3">
        <v>-0.41339599999999999</v>
      </c>
      <c r="AU293" s="3">
        <v>0</v>
      </c>
      <c r="AV293" s="3">
        <v>2.76887E-2</v>
      </c>
      <c r="AW293" s="3">
        <v>7.8154699999999997E-3</v>
      </c>
      <c r="AX293" s="3">
        <v>0.55335999999999996</v>
      </c>
      <c r="AY293" s="3">
        <v>0.20294499999999999</v>
      </c>
      <c r="AZ293" s="21">
        <v>2.3899400000000002</v>
      </c>
      <c r="BA293" s="3">
        <v>45.567</v>
      </c>
      <c r="BB293" s="3">
        <v>7</v>
      </c>
    </row>
    <row r="294" spans="1:54" s="3" customFormat="1" ht="47.25" customHeight="1" x14ac:dyDescent="0.25">
      <c r="A294" s="2">
        <v>292</v>
      </c>
      <c r="B294" s="3">
        <v>7</v>
      </c>
      <c r="C294" s="2">
        <v>1</v>
      </c>
      <c r="D294" s="9">
        <v>72</v>
      </c>
      <c r="E294" s="3" t="s">
        <v>53</v>
      </c>
      <c r="F294" s="3">
        <f t="shared" si="39"/>
        <v>2</v>
      </c>
      <c r="G294" s="11"/>
      <c r="H294" s="3" t="s">
        <v>76</v>
      </c>
      <c r="I294" s="3">
        <f t="shared" si="34"/>
        <v>2</v>
      </c>
      <c r="J294" s="3" t="s">
        <v>94</v>
      </c>
      <c r="K294" s="3">
        <v>8</v>
      </c>
      <c r="L294" s="6" t="s">
        <v>156</v>
      </c>
      <c r="M294" s="3">
        <v>-100</v>
      </c>
      <c r="N294" s="3">
        <f t="shared" si="35"/>
        <v>-1</v>
      </c>
      <c r="O294" s="3">
        <v>-1</v>
      </c>
      <c r="P294" s="3">
        <v>-0.01</v>
      </c>
      <c r="Q294" s="17">
        <v>0.1333333333333333</v>
      </c>
      <c r="R294" s="21">
        <v>0.35590260840104371</v>
      </c>
      <c r="S294" s="3">
        <v>10</v>
      </c>
      <c r="T294" s="3">
        <v>436.58</v>
      </c>
      <c r="U294" s="3">
        <v>470.15</v>
      </c>
      <c r="V294" s="26">
        <v>1.8719003490327499</v>
      </c>
      <c r="W294" s="18">
        <v>1.1342512842494701</v>
      </c>
      <c r="X294" s="18">
        <v>0.189755508692981</v>
      </c>
      <c r="Y294" s="18">
        <v>1.6144319240399401</v>
      </c>
      <c r="Z294" s="18">
        <v>-0.19999021621122701</v>
      </c>
      <c r="AA294" s="18">
        <v>-0.34380911033211897</v>
      </c>
      <c r="AB294" s="18">
        <v>-0.66674484553369295</v>
      </c>
      <c r="AC294" s="18">
        <v>-0.36258000342587998</v>
      </c>
      <c r="AD294" s="18">
        <v>0.628378377437533</v>
      </c>
      <c r="AE294" s="21">
        <v>1.2937306602480001</v>
      </c>
      <c r="AF294" s="3">
        <v>0</v>
      </c>
      <c r="AG294" s="3">
        <v>0.25138100000000002</v>
      </c>
      <c r="AH294" s="3">
        <v>-0.38936300000000001</v>
      </c>
      <c r="AI294" s="3">
        <v>23.778300000000002</v>
      </c>
      <c r="AJ294" s="3">
        <v>0.204042</v>
      </c>
      <c r="AK294" s="3">
        <v>1.12886</v>
      </c>
      <c r="AL294" s="3">
        <v>3.1465999999999998</v>
      </c>
      <c r="AM294" s="3">
        <v>0.11532100000000001</v>
      </c>
      <c r="AN294" s="3">
        <v>5.6602499999999996</v>
      </c>
      <c r="AO294" s="3">
        <v>11.656700000000001</v>
      </c>
      <c r="AP294" s="3">
        <v>0.12059</v>
      </c>
      <c r="AQ294" s="3">
        <v>2.31942</v>
      </c>
      <c r="AR294" s="3">
        <v>9.1895100000000003</v>
      </c>
      <c r="AS294" s="3">
        <v>7.9105599999999998E-2</v>
      </c>
      <c r="AT294" s="3">
        <v>2.5803099999999999</v>
      </c>
      <c r="AU294" s="3">
        <v>2.3957099999999998</v>
      </c>
      <c r="AV294" s="3">
        <v>0.337451</v>
      </c>
      <c r="AW294" s="3">
        <v>3.2037900000000001</v>
      </c>
      <c r="AX294" s="3">
        <v>2.3957099999999998</v>
      </c>
      <c r="AY294" s="3">
        <v>0.40118599999999999</v>
      </c>
      <c r="AZ294" s="21">
        <v>3.09802</v>
      </c>
      <c r="BA294" s="3">
        <v>33.572000000000003</v>
      </c>
      <c r="BB294" s="3">
        <v>8</v>
      </c>
    </row>
    <row r="295" spans="1:54" s="3" customFormat="1" ht="31.5" customHeight="1" x14ac:dyDescent="0.25">
      <c r="A295" s="2">
        <v>293</v>
      </c>
      <c r="B295" s="3">
        <v>7</v>
      </c>
      <c r="C295" s="2">
        <v>1</v>
      </c>
      <c r="D295" s="9">
        <v>72</v>
      </c>
      <c r="E295" s="3" t="s">
        <v>53</v>
      </c>
      <c r="F295" s="3">
        <f t="shared" si="39"/>
        <v>2</v>
      </c>
      <c r="G295" s="11" t="s">
        <v>84</v>
      </c>
      <c r="H295" s="3" t="s">
        <v>84</v>
      </c>
      <c r="I295" s="3">
        <f t="shared" si="34"/>
        <v>3</v>
      </c>
      <c r="J295" s="3" t="s">
        <v>85</v>
      </c>
      <c r="K295" s="3">
        <v>1</v>
      </c>
      <c r="L295" s="6" t="s">
        <v>151</v>
      </c>
      <c r="M295" s="3">
        <v>-92</v>
      </c>
      <c r="N295" s="3">
        <f t="shared" si="35"/>
        <v>-0.92</v>
      </c>
      <c r="O295" s="3">
        <v>2</v>
      </c>
      <c r="P295" s="3">
        <v>0.02</v>
      </c>
      <c r="Q295" s="17">
        <v>-0.3</v>
      </c>
      <c r="R295" s="21">
        <v>0</v>
      </c>
      <c r="S295" s="3">
        <v>2</v>
      </c>
      <c r="T295" s="3">
        <v>26.57</v>
      </c>
      <c r="U295" s="3">
        <v>44.68</v>
      </c>
      <c r="V295" s="26">
        <v>0.86209534828525003</v>
      </c>
      <c r="W295" s="18">
        <v>-0.38302979499350198</v>
      </c>
      <c r="X295" s="18">
        <v>1.2017810163965501</v>
      </c>
      <c r="Y295" s="18">
        <v>0.14638575002250101</v>
      </c>
      <c r="Z295" s="18">
        <v>5.2533972322191397E-2</v>
      </c>
      <c r="AA295" s="18">
        <v>0.49380012705708698</v>
      </c>
      <c r="AB295" s="18">
        <v>-1.92038737421688</v>
      </c>
      <c r="AC295" s="18">
        <v>-0.50088636141375997</v>
      </c>
      <c r="AD295" s="18">
        <v>0.96317221770168104</v>
      </c>
      <c r="AE295" s="21">
        <v>0.88995484908779299</v>
      </c>
      <c r="AF295" s="3">
        <v>0</v>
      </c>
      <c r="AG295" s="3">
        <v>0.19639999999999999</v>
      </c>
      <c r="AH295" s="3">
        <v>-0.46442800000000001</v>
      </c>
      <c r="AI295" s="3">
        <v>8.0884</v>
      </c>
      <c r="AJ295" s="3">
        <v>5.7879199999999999E-2</v>
      </c>
      <c r="AK295" s="3">
        <v>0.45317299999999999</v>
      </c>
      <c r="AL295" s="3">
        <v>0</v>
      </c>
      <c r="AM295" s="3">
        <v>0</v>
      </c>
      <c r="AN295" s="3">
        <v>-0.43665799999999999</v>
      </c>
      <c r="AO295" s="3">
        <v>2.25414</v>
      </c>
      <c r="AP295" s="3">
        <v>8.17499E-2</v>
      </c>
      <c r="AQ295" s="3">
        <v>1.79331</v>
      </c>
      <c r="AR295" s="3">
        <v>0.86187800000000003</v>
      </c>
      <c r="AS295" s="3">
        <v>6.6976800000000003E-2</v>
      </c>
      <c r="AT295" s="3">
        <v>2.2132800000000001</v>
      </c>
      <c r="AU295" s="3">
        <v>1.79006</v>
      </c>
      <c r="AV295" s="3">
        <v>0.55075399999999997</v>
      </c>
      <c r="AW295" s="3">
        <v>2.5028100000000002</v>
      </c>
      <c r="AX295" s="3">
        <v>0</v>
      </c>
      <c r="AY295" s="3">
        <v>4.8519399999999997E-2</v>
      </c>
      <c r="AZ295" s="21">
        <v>-0.60002599999999995</v>
      </c>
      <c r="BA295" s="3">
        <v>18.117000000000001</v>
      </c>
      <c r="BB295" s="3">
        <v>1</v>
      </c>
    </row>
    <row r="296" spans="1:54" s="3" customFormat="1" ht="31.5" customHeight="1" x14ac:dyDescent="0.25">
      <c r="A296" s="2">
        <v>294</v>
      </c>
      <c r="B296" s="3">
        <v>7</v>
      </c>
      <c r="C296" s="2">
        <v>1</v>
      </c>
      <c r="D296" s="9">
        <v>72</v>
      </c>
      <c r="E296" s="3" t="s">
        <v>53</v>
      </c>
      <c r="F296" s="3">
        <f t="shared" si="39"/>
        <v>2</v>
      </c>
      <c r="G296" s="11"/>
      <c r="H296" s="3" t="s">
        <v>84</v>
      </c>
      <c r="I296" s="3">
        <f t="shared" si="34"/>
        <v>3</v>
      </c>
      <c r="J296" s="3" t="s">
        <v>86</v>
      </c>
      <c r="K296" s="3">
        <v>2</v>
      </c>
      <c r="L296" s="6" t="s">
        <v>150</v>
      </c>
      <c r="M296" s="3">
        <v>-92</v>
      </c>
      <c r="N296" s="3">
        <f t="shared" si="35"/>
        <v>-0.92</v>
      </c>
      <c r="O296" s="3">
        <v>2</v>
      </c>
      <c r="P296" s="3">
        <v>0.02</v>
      </c>
      <c r="Q296" s="17">
        <v>0.1740740740740741</v>
      </c>
      <c r="R296" s="21">
        <v>0.16715976439106309</v>
      </c>
      <c r="S296" s="3">
        <v>3</v>
      </c>
      <c r="T296" s="3">
        <v>44.68</v>
      </c>
      <c r="U296" s="3">
        <v>57.48</v>
      </c>
      <c r="V296" s="26">
        <v>-0.21064145562626099</v>
      </c>
      <c r="W296" s="18">
        <v>-1.4025719232370399</v>
      </c>
      <c r="X296" s="18">
        <v>-1.10312043483509</v>
      </c>
      <c r="Y296" s="18">
        <v>-6.49661679586645E-2</v>
      </c>
      <c r="Z296" s="18">
        <v>0.63120988387708599</v>
      </c>
      <c r="AA296" s="18">
        <v>0.38155310942986398</v>
      </c>
      <c r="AB296" s="18">
        <v>-0.364757571131753</v>
      </c>
      <c r="AC296" s="18">
        <v>-0.42408725353842602</v>
      </c>
      <c r="AD296" s="18">
        <v>-0.56048138186780905</v>
      </c>
      <c r="AE296" s="21">
        <v>-1.80547985976409</v>
      </c>
      <c r="AF296" s="3">
        <v>0</v>
      </c>
      <c r="AG296" s="3">
        <v>0.268785</v>
      </c>
      <c r="AH296" s="3">
        <v>-0.310332</v>
      </c>
      <c r="AI296" s="3">
        <v>5.92476</v>
      </c>
      <c r="AJ296" s="3">
        <v>8.0294900000000002E-2</v>
      </c>
      <c r="AK296" s="3">
        <v>0.45394400000000001</v>
      </c>
      <c r="AL296" s="3">
        <v>0</v>
      </c>
      <c r="AM296" s="3">
        <v>4.2297599999999998E-2</v>
      </c>
      <c r="AN296" s="3">
        <v>-0.301535</v>
      </c>
      <c r="AO296" s="3">
        <v>2.1630099999999999</v>
      </c>
      <c r="AP296" s="3">
        <v>6.4684500000000006E-2</v>
      </c>
      <c r="AQ296" s="3">
        <v>1.7983199999999999</v>
      </c>
      <c r="AR296" s="3">
        <v>0.75235099999999999</v>
      </c>
      <c r="AS296" s="3">
        <v>4.8329200000000003E-2</v>
      </c>
      <c r="AT296" s="3">
        <v>2.1003099999999999</v>
      </c>
      <c r="AU296" s="3">
        <v>3.2915399999999999</v>
      </c>
      <c r="AV296" s="3">
        <v>0.124806</v>
      </c>
      <c r="AW296" s="3">
        <v>1.6454200000000001</v>
      </c>
      <c r="AX296" s="3">
        <v>5.5485899999999999</v>
      </c>
      <c r="AY296" s="3">
        <v>0.77852600000000005</v>
      </c>
      <c r="AZ296" s="21">
        <v>4.7531499999999998</v>
      </c>
      <c r="BA296" s="3">
        <v>12.795999999999999</v>
      </c>
      <c r="BB296" s="3">
        <v>2</v>
      </c>
    </row>
    <row r="297" spans="1:54" s="3" customFormat="1" ht="63" customHeight="1" x14ac:dyDescent="0.25">
      <c r="A297" s="2">
        <v>295</v>
      </c>
      <c r="B297" s="3">
        <v>7</v>
      </c>
      <c r="C297" s="2">
        <v>1</v>
      </c>
      <c r="D297" s="9">
        <v>72</v>
      </c>
      <c r="E297" s="3" t="s">
        <v>53</v>
      </c>
      <c r="F297" s="3">
        <f t="shared" si="39"/>
        <v>2</v>
      </c>
      <c r="G297" s="11"/>
      <c r="H297" s="3" t="s">
        <v>84</v>
      </c>
      <c r="I297" s="3">
        <f t="shared" si="34"/>
        <v>3</v>
      </c>
      <c r="J297" s="3" t="s">
        <v>87</v>
      </c>
      <c r="K297" s="3">
        <v>3</v>
      </c>
      <c r="L297" s="6" t="s">
        <v>176</v>
      </c>
      <c r="M297" s="3">
        <v>-92</v>
      </c>
      <c r="N297" s="3">
        <f t="shared" si="35"/>
        <v>-0.92</v>
      </c>
      <c r="O297" s="3">
        <v>2</v>
      </c>
      <c r="P297" s="3">
        <v>0.02</v>
      </c>
      <c r="Q297" s="17">
        <v>-1.0000000000000011E-2</v>
      </c>
      <c r="R297" s="21">
        <v>0.38105117766515301</v>
      </c>
      <c r="S297" s="3">
        <v>4</v>
      </c>
      <c r="T297" s="3">
        <v>57.48</v>
      </c>
      <c r="U297" s="3">
        <v>94.67</v>
      </c>
      <c r="V297" s="26">
        <v>1.1926482121253701</v>
      </c>
      <c r="W297" s="18">
        <v>-0.439080473433554</v>
      </c>
      <c r="X297" s="18">
        <v>0.59575273347424196</v>
      </c>
      <c r="Y297" s="18">
        <v>0.53621852135409998</v>
      </c>
      <c r="Z297" s="18">
        <v>1.77201072402758</v>
      </c>
      <c r="AA297" s="18">
        <v>1.4840239814437299</v>
      </c>
      <c r="AB297" s="18">
        <v>1.1487608862968699</v>
      </c>
      <c r="AC297" s="18">
        <v>-0.41729087231052098</v>
      </c>
      <c r="AD297" s="18">
        <v>0.62959847160759197</v>
      </c>
      <c r="AE297" s="21">
        <v>-0.48473226371717099</v>
      </c>
      <c r="AF297" s="3">
        <v>0</v>
      </c>
      <c r="AG297" s="3">
        <v>0.34935500000000003</v>
      </c>
      <c r="AH297" s="3">
        <v>-0.28423199999999998</v>
      </c>
      <c r="AI297" s="3">
        <v>28.725100000000001</v>
      </c>
      <c r="AJ297" s="3">
        <v>0.237372</v>
      </c>
      <c r="AK297" s="3">
        <v>1.08917</v>
      </c>
      <c r="AL297" s="3">
        <v>0</v>
      </c>
      <c r="AM297" s="3">
        <v>8.4459099999999995E-2</v>
      </c>
      <c r="AN297" s="3">
        <v>2.22776</v>
      </c>
      <c r="AO297" s="3">
        <v>0.96826299999999998</v>
      </c>
      <c r="AP297" s="3">
        <v>4.3430999999999997E-2</v>
      </c>
      <c r="AQ297" s="3">
        <v>1.7455400000000001</v>
      </c>
      <c r="AR297" s="3">
        <v>0.61323300000000003</v>
      </c>
      <c r="AS297" s="3">
        <v>8.7703000000000003E-2</v>
      </c>
      <c r="AT297" s="3">
        <v>2.26431</v>
      </c>
      <c r="AU297" s="3">
        <v>1.2910200000000001</v>
      </c>
      <c r="AV297" s="3">
        <v>9.3788899999999994E-2</v>
      </c>
      <c r="AW297" s="3">
        <v>1.41127</v>
      </c>
      <c r="AX297" s="3">
        <v>0.41958000000000001</v>
      </c>
      <c r="AY297" s="3">
        <v>9.9548999999999999E-2</v>
      </c>
      <c r="AZ297" s="21">
        <v>2.6392799999999998</v>
      </c>
      <c r="BA297" s="3">
        <v>37.186</v>
      </c>
      <c r="BB297" s="3">
        <v>3</v>
      </c>
    </row>
    <row r="298" spans="1:54" s="3" customFormat="1" ht="47.25" customHeight="1" x14ac:dyDescent="0.25">
      <c r="A298" s="2">
        <v>296</v>
      </c>
      <c r="B298" s="3">
        <v>7</v>
      </c>
      <c r="C298" s="2">
        <v>1</v>
      </c>
      <c r="D298" s="9">
        <v>72</v>
      </c>
      <c r="E298" s="3" t="s">
        <v>53</v>
      </c>
      <c r="F298" s="3">
        <f t="shared" si="39"/>
        <v>2</v>
      </c>
      <c r="G298" s="11"/>
      <c r="H298" s="3" t="s">
        <v>84</v>
      </c>
      <c r="I298" s="3">
        <f t="shared" si="34"/>
        <v>3</v>
      </c>
      <c r="J298" s="3" t="s">
        <v>88</v>
      </c>
      <c r="K298" s="3">
        <v>4</v>
      </c>
      <c r="L298" s="6" t="s">
        <v>164</v>
      </c>
      <c r="M298" s="3">
        <v>-92</v>
      </c>
      <c r="N298" s="3">
        <f t="shared" si="35"/>
        <v>-0.92</v>
      </c>
      <c r="O298" s="3">
        <v>2</v>
      </c>
      <c r="P298" s="3">
        <v>0.02</v>
      </c>
      <c r="Q298" s="17">
        <v>0.25</v>
      </c>
      <c r="R298" s="21">
        <v>0.1732050807568877</v>
      </c>
      <c r="S298" s="3">
        <v>6</v>
      </c>
      <c r="T298" s="3">
        <v>122.2</v>
      </c>
      <c r="U298" s="3">
        <v>155.07</v>
      </c>
      <c r="V298" s="26">
        <v>0.55693626451242295</v>
      </c>
      <c r="W298" s="18">
        <v>-0.36990791088358199</v>
      </c>
      <c r="X298" s="18">
        <v>1.0573279116258201</v>
      </c>
      <c r="Y298" s="18">
        <v>-0.66657568524726896</v>
      </c>
      <c r="Z298" s="18">
        <v>1.6313273688735399</v>
      </c>
      <c r="AA298" s="18">
        <v>0.91020630520409995</v>
      </c>
      <c r="AB298" s="18">
        <v>4.9541186343730399E-2</v>
      </c>
      <c r="AC298" s="18">
        <v>-1.72661371586654</v>
      </c>
      <c r="AD298" s="18">
        <v>2.1085966245529302</v>
      </c>
      <c r="AE298" s="21">
        <v>-1.8702072798737399</v>
      </c>
      <c r="AF298" s="3">
        <v>1.49817</v>
      </c>
      <c r="AG298" s="3">
        <v>9.4254599999999994E-2</v>
      </c>
      <c r="AH298" s="3">
        <v>2.6160199999999998</v>
      </c>
      <c r="AI298" s="3">
        <v>10.4872</v>
      </c>
      <c r="AJ298" s="3">
        <v>4.7745000000000003E-2</v>
      </c>
      <c r="AK298" s="3">
        <v>0.437274</v>
      </c>
      <c r="AL298" s="3">
        <v>1.09622</v>
      </c>
      <c r="AM298" s="3">
        <v>0.28783500000000001</v>
      </c>
      <c r="AN298" s="3">
        <v>6.8431499999999996</v>
      </c>
      <c r="AO298" s="3">
        <v>0</v>
      </c>
      <c r="AP298" s="3">
        <v>0.61317100000000002</v>
      </c>
      <c r="AQ298" s="3">
        <v>0.81216200000000005</v>
      </c>
      <c r="AR298" s="3">
        <v>0</v>
      </c>
      <c r="AS298" s="3">
        <v>0.27143400000000001</v>
      </c>
      <c r="AT298" s="3">
        <v>0.64205299999999998</v>
      </c>
      <c r="AU298" s="3">
        <v>2.19245</v>
      </c>
      <c r="AV298" s="3">
        <v>0.101255</v>
      </c>
      <c r="AW298" s="3">
        <v>1.6293599999999999</v>
      </c>
      <c r="AX298" s="3">
        <v>2.88672</v>
      </c>
      <c r="AY298" s="3">
        <v>5.66522E-2</v>
      </c>
      <c r="AZ298" s="21">
        <v>2.56717</v>
      </c>
      <c r="BA298" s="3">
        <v>32.866</v>
      </c>
      <c r="BB298" s="3">
        <v>4</v>
      </c>
    </row>
    <row r="299" spans="1:54" s="3" customFormat="1" ht="63" customHeight="1" x14ac:dyDescent="0.25">
      <c r="A299" s="2">
        <v>297</v>
      </c>
      <c r="B299" s="3">
        <v>7</v>
      </c>
      <c r="C299" s="2">
        <v>1</v>
      </c>
      <c r="D299" s="9">
        <v>72</v>
      </c>
      <c r="E299" s="3" t="s">
        <v>53</v>
      </c>
      <c r="F299" s="3">
        <f t="shared" si="39"/>
        <v>2</v>
      </c>
      <c r="G299" s="11"/>
      <c r="H299" s="3" t="s">
        <v>84</v>
      </c>
      <c r="I299" s="3">
        <f t="shared" si="34"/>
        <v>3</v>
      </c>
      <c r="J299" s="3" t="s">
        <v>89</v>
      </c>
      <c r="K299" s="3">
        <v>5</v>
      </c>
      <c r="L299" s="6" t="s">
        <v>205</v>
      </c>
      <c r="M299" s="3">
        <v>-92</v>
      </c>
      <c r="N299" s="3">
        <f t="shared" si="35"/>
        <v>-0.92</v>
      </c>
      <c r="O299" s="3">
        <v>2</v>
      </c>
      <c r="P299" s="3">
        <v>0.02</v>
      </c>
      <c r="Q299" s="17">
        <v>0.19503968253968251</v>
      </c>
      <c r="R299" s="21">
        <v>0.28678509381638612</v>
      </c>
      <c r="S299" s="3">
        <v>7</v>
      </c>
      <c r="T299" s="3">
        <v>155.07</v>
      </c>
      <c r="U299" s="3">
        <v>200.5</v>
      </c>
      <c r="V299" s="26">
        <v>-0.55829139893868296</v>
      </c>
      <c r="W299" s="18">
        <v>-1.3074159473106799</v>
      </c>
      <c r="X299" s="18">
        <v>-0.49028031818288698</v>
      </c>
      <c r="Y299" s="18">
        <v>-2.0001638049108501</v>
      </c>
      <c r="Z299" s="18">
        <v>-5.6872892974938097E-2</v>
      </c>
      <c r="AA299" s="18">
        <v>-0.35266489081552899</v>
      </c>
      <c r="AB299" s="18">
        <v>0.86040301007421105</v>
      </c>
      <c r="AC299" s="18">
        <v>-2.6159132644551698E-2</v>
      </c>
      <c r="AD299" s="18">
        <v>3.3621213748713901</v>
      </c>
      <c r="AE299" s="21">
        <v>-1.5003363078186001</v>
      </c>
      <c r="AF299" s="3">
        <v>0</v>
      </c>
      <c r="AG299" s="3">
        <v>0.31736500000000001</v>
      </c>
      <c r="AH299" s="3">
        <v>-7.9500299999999996E-2</v>
      </c>
      <c r="AI299" s="3">
        <v>33.289299999999997</v>
      </c>
      <c r="AJ299" s="3">
        <v>0.153504</v>
      </c>
      <c r="AK299" s="3">
        <v>0.74089899999999997</v>
      </c>
      <c r="AL299" s="3">
        <v>0</v>
      </c>
      <c r="AM299" s="3">
        <v>0.134575</v>
      </c>
      <c r="AN299" s="3">
        <v>1.0458499999999999</v>
      </c>
      <c r="AO299" s="3">
        <v>0</v>
      </c>
      <c r="AP299" s="3">
        <v>0.12820799999999999</v>
      </c>
      <c r="AQ299" s="3">
        <v>0.35190500000000002</v>
      </c>
      <c r="AR299" s="3">
        <v>0</v>
      </c>
      <c r="AS299" s="3">
        <v>0</v>
      </c>
      <c r="AT299" s="3">
        <v>-0.63228300000000004</v>
      </c>
      <c r="AU299" s="3">
        <v>0</v>
      </c>
      <c r="AV299" s="3">
        <v>0.123169</v>
      </c>
      <c r="AW299" s="3">
        <v>-0.42078100000000002</v>
      </c>
      <c r="AX299" s="3">
        <v>17.041</v>
      </c>
      <c r="AY299" s="3">
        <v>0.18071400000000001</v>
      </c>
      <c r="AZ299" s="21">
        <v>2.8191700000000002</v>
      </c>
      <c r="BA299" s="3">
        <v>45.436</v>
      </c>
      <c r="BB299" s="3">
        <v>5</v>
      </c>
    </row>
    <row r="300" spans="1:54" s="3" customFormat="1" ht="94.5" customHeight="1" x14ac:dyDescent="0.25">
      <c r="A300" s="2">
        <v>298</v>
      </c>
      <c r="B300" s="3">
        <v>7</v>
      </c>
      <c r="C300" s="2">
        <v>1</v>
      </c>
      <c r="D300" s="9">
        <v>72</v>
      </c>
      <c r="E300" s="3" t="s">
        <v>53</v>
      </c>
      <c r="F300" s="3">
        <f t="shared" si="39"/>
        <v>2</v>
      </c>
      <c r="G300" s="11"/>
      <c r="H300" s="3" t="s">
        <v>84</v>
      </c>
      <c r="I300" s="3">
        <f t="shared" si="34"/>
        <v>3</v>
      </c>
      <c r="J300" s="3" t="s">
        <v>90</v>
      </c>
      <c r="K300" s="3">
        <v>6</v>
      </c>
      <c r="L300" s="6" t="s">
        <v>206</v>
      </c>
      <c r="M300" s="3">
        <v>-92</v>
      </c>
      <c r="N300" s="3">
        <f t="shared" si="35"/>
        <v>-0.92</v>
      </c>
      <c r="O300" s="3">
        <v>2</v>
      </c>
      <c r="P300" s="3">
        <v>0.02</v>
      </c>
      <c r="Q300" s="17">
        <v>9.4848484848484849E-2</v>
      </c>
      <c r="R300" s="21">
        <v>0.27896679864721308</v>
      </c>
      <c r="S300" s="3">
        <v>9</v>
      </c>
      <c r="T300" s="3">
        <v>206.64</v>
      </c>
      <c r="U300" s="3">
        <v>282.91000000000003</v>
      </c>
      <c r="V300" s="26">
        <v>-1.6124060974675101</v>
      </c>
      <c r="W300" s="18">
        <v>-1.7089904458677099E-2</v>
      </c>
      <c r="X300" s="18">
        <v>-0.71867871625031499</v>
      </c>
      <c r="Y300" s="18">
        <v>-2.1772639673398002</v>
      </c>
      <c r="Z300" s="18">
        <v>0.121658665858085</v>
      </c>
      <c r="AA300" s="18">
        <v>-0.66900074950000799</v>
      </c>
      <c r="AB300" s="18">
        <v>-0.62463349987717998</v>
      </c>
      <c r="AC300" s="18">
        <v>-2.6244156760728701</v>
      </c>
      <c r="AD300" s="18">
        <v>1.10201893425438</v>
      </c>
      <c r="AE300" s="21">
        <v>-0.98097581789116095</v>
      </c>
      <c r="AF300" s="3">
        <v>0.22029899999999999</v>
      </c>
      <c r="AG300" s="3">
        <v>3.5050999999999999E-2</v>
      </c>
      <c r="AH300" s="3">
        <v>2.5878899999999998</v>
      </c>
      <c r="AI300" s="3">
        <v>15.672700000000001</v>
      </c>
      <c r="AJ300" s="3">
        <v>0.30702099999999999</v>
      </c>
      <c r="AK300" s="3">
        <v>0.89534000000000002</v>
      </c>
      <c r="AL300" s="3">
        <v>0</v>
      </c>
      <c r="AM300" s="3">
        <v>0</v>
      </c>
      <c r="AN300" s="3">
        <v>-0.43665799999999999</v>
      </c>
      <c r="AO300" s="3">
        <v>1.5735600000000001</v>
      </c>
      <c r="AP300" s="3">
        <v>0.433423</v>
      </c>
      <c r="AQ300" s="3">
        <v>3.5906500000000001</v>
      </c>
      <c r="AR300" s="3">
        <v>1.43194</v>
      </c>
      <c r="AS300" s="3">
        <v>0.38330799999999998</v>
      </c>
      <c r="AT300" s="3">
        <v>4.2762399999999996</v>
      </c>
      <c r="AU300" s="3">
        <v>3.7922899999999999</v>
      </c>
      <c r="AV300" s="3">
        <v>0.11937</v>
      </c>
      <c r="AW300" s="3">
        <v>1.4490099999999999</v>
      </c>
      <c r="AX300" s="3">
        <v>0.110149</v>
      </c>
      <c r="AY300" s="3">
        <v>0.23064100000000001</v>
      </c>
      <c r="AZ300" s="21">
        <v>2.927</v>
      </c>
      <c r="BA300" s="3">
        <v>76.269000000000005</v>
      </c>
      <c r="BB300" s="3">
        <v>6</v>
      </c>
    </row>
    <row r="301" spans="1:54" s="3" customFormat="1" ht="126" customHeight="1" x14ac:dyDescent="0.25">
      <c r="A301" s="2">
        <v>299</v>
      </c>
      <c r="B301" s="3">
        <v>8</v>
      </c>
      <c r="C301" s="2">
        <v>1</v>
      </c>
      <c r="D301" s="9">
        <v>77</v>
      </c>
      <c r="E301" s="3" t="s">
        <v>16</v>
      </c>
      <c r="F301" s="3">
        <f>IF(E312="Happy", 1,2)</f>
        <v>2</v>
      </c>
      <c r="G301" s="11" t="s">
        <v>17</v>
      </c>
      <c r="H301" s="3" t="s">
        <v>17</v>
      </c>
      <c r="I301" s="3">
        <f t="shared" si="34"/>
        <v>1</v>
      </c>
      <c r="J301" s="3" t="s">
        <v>18</v>
      </c>
      <c r="K301" s="3">
        <v>1</v>
      </c>
      <c r="L301" s="6" t="s">
        <v>206</v>
      </c>
      <c r="M301" s="3">
        <v>70</v>
      </c>
      <c r="N301" s="3">
        <f t="shared" si="35"/>
        <v>0.7</v>
      </c>
      <c r="O301" s="3">
        <v>73</v>
      </c>
      <c r="P301" s="3">
        <v>0.73</v>
      </c>
      <c r="Q301" s="17">
        <v>0.30319444444444438</v>
      </c>
      <c r="R301" s="21">
        <v>0.42838663680921207</v>
      </c>
      <c r="S301" s="3">
        <v>2</v>
      </c>
      <c r="T301" s="3">
        <v>21.06</v>
      </c>
      <c r="U301" s="3">
        <v>97.24</v>
      </c>
      <c r="V301" s="26">
        <v>0.30013269245174101</v>
      </c>
      <c r="W301" s="18">
        <v>-0.22218024267606601</v>
      </c>
      <c r="X301" s="18">
        <v>-0.37381021980963502</v>
      </c>
      <c r="Y301" s="18">
        <v>0.56048071045786996</v>
      </c>
      <c r="Z301" s="18">
        <v>0.42581846610643498</v>
      </c>
      <c r="AA301" s="18">
        <v>0.405972963674883</v>
      </c>
      <c r="AB301" s="18">
        <v>-0.109751391698441</v>
      </c>
      <c r="AC301" s="18">
        <v>-1.41843085986135</v>
      </c>
      <c r="AD301" s="18">
        <v>-0.54575060074527204</v>
      </c>
      <c r="AE301" s="21">
        <v>0.34766770114097301</v>
      </c>
      <c r="AF301" s="3">
        <v>4.3475999999999999</v>
      </c>
      <c r="AG301" s="3">
        <v>0.24452099999999999</v>
      </c>
      <c r="AH301" s="3">
        <v>3.1312099999999998</v>
      </c>
      <c r="AI301" s="3">
        <v>40.813899999999997</v>
      </c>
      <c r="AJ301" s="3">
        <v>0.39203900000000003</v>
      </c>
      <c r="AK301" s="3">
        <v>0.36040699999999998</v>
      </c>
      <c r="AL301" s="3">
        <v>0</v>
      </c>
      <c r="AM301" s="3">
        <v>0.128106</v>
      </c>
      <c r="AN301" s="3">
        <v>-0.29633199999999998</v>
      </c>
      <c r="AO301" s="3">
        <v>8.9472299999999994</v>
      </c>
      <c r="AP301" s="3">
        <v>8.3996199999999993E-2</v>
      </c>
      <c r="AQ301" s="3">
        <v>0.86347799999999997</v>
      </c>
      <c r="AR301" s="3">
        <v>3.7647699999999999</v>
      </c>
      <c r="AS301" s="3">
        <v>9.0203500000000006E-2</v>
      </c>
      <c r="AT301" s="3">
        <v>2.0400299999999998</v>
      </c>
      <c r="AU301" s="3">
        <v>0.92937800000000004</v>
      </c>
      <c r="AV301" s="3">
        <v>0.48476799999999998</v>
      </c>
      <c r="AW301" s="3">
        <v>6.1656899999999997</v>
      </c>
      <c r="AX301" s="3">
        <v>0.56707799999999997</v>
      </c>
      <c r="AY301" s="3">
        <v>0.24459900000000001</v>
      </c>
      <c r="AZ301" s="21">
        <v>4.5729600000000001</v>
      </c>
      <c r="BA301" s="3">
        <v>76.180000000000007</v>
      </c>
      <c r="BB301" s="3">
        <v>1</v>
      </c>
    </row>
    <row r="302" spans="1:54" s="3" customFormat="1" ht="47.25" customHeight="1" x14ac:dyDescent="0.25">
      <c r="A302" s="2">
        <v>300</v>
      </c>
      <c r="B302" s="3">
        <v>8</v>
      </c>
      <c r="C302" s="2">
        <v>1</v>
      </c>
      <c r="D302" s="9">
        <v>77</v>
      </c>
      <c r="E302" s="3" t="s">
        <v>16</v>
      </c>
      <c r="F302" s="3">
        <f>IF(E313="Happy", 1,2)</f>
        <v>2</v>
      </c>
      <c r="G302" s="11"/>
      <c r="H302" s="3" t="s">
        <v>17</v>
      </c>
      <c r="I302" s="3">
        <f t="shared" si="34"/>
        <v>1</v>
      </c>
      <c r="J302" s="3" t="s">
        <v>19</v>
      </c>
      <c r="K302" s="3">
        <v>2</v>
      </c>
      <c r="L302" s="6" t="s">
        <v>172</v>
      </c>
      <c r="M302" s="3">
        <v>70</v>
      </c>
      <c r="N302" s="3">
        <f t="shared" si="35"/>
        <v>0.7</v>
      </c>
      <c r="O302" s="3">
        <v>73</v>
      </c>
      <c r="P302" s="3">
        <v>0.73</v>
      </c>
      <c r="Q302" s="17">
        <v>0.28916666666666668</v>
      </c>
      <c r="R302" s="21">
        <v>0.31960804989166902</v>
      </c>
      <c r="S302" s="3">
        <v>4</v>
      </c>
      <c r="T302" s="3">
        <v>99</v>
      </c>
      <c r="U302" s="3">
        <v>127.52</v>
      </c>
      <c r="V302" s="26">
        <v>0.66208586685456505</v>
      </c>
      <c r="W302" s="18">
        <v>0.66973720662895198</v>
      </c>
      <c r="X302" s="18">
        <v>3.4025686428623303E-2</v>
      </c>
      <c r="Y302" s="18">
        <v>-0.18904070871905501</v>
      </c>
      <c r="Z302" s="18">
        <v>-0.316246795653992</v>
      </c>
      <c r="AA302" s="18">
        <v>-0.15872995099548901</v>
      </c>
      <c r="AB302" s="18">
        <v>0.26047261500451202</v>
      </c>
      <c r="AC302" s="18">
        <v>0.845586918369861</v>
      </c>
      <c r="AD302" s="18">
        <v>0.18537328989841201</v>
      </c>
      <c r="AE302" s="21">
        <v>0.14651243761294599</v>
      </c>
      <c r="AF302" s="3">
        <v>3.36842</v>
      </c>
      <c r="AG302" s="3">
        <v>0.12389500000000001</v>
      </c>
      <c r="AH302" s="3">
        <v>3.1059800000000002</v>
      </c>
      <c r="AI302" s="3">
        <v>27.368400000000001</v>
      </c>
      <c r="AJ302" s="3">
        <v>0.27462900000000001</v>
      </c>
      <c r="AK302" s="3">
        <v>1.00559</v>
      </c>
      <c r="AL302" s="3">
        <v>0</v>
      </c>
      <c r="AM302" s="3">
        <v>0.18357399999999999</v>
      </c>
      <c r="AN302" s="3">
        <v>1.6338100000000001E-2</v>
      </c>
      <c r="AO302" s="3">
        <v>5.0947399999999998</v>
      </c>
      <c r="AP302" s="3">
        <v>0.106393</v>
      </c>
      <c r="AQ302" s="3">
        <v>1.13317</v>
      </c>
      <c r="AR302" s="3">
        <v>1.3052600000000001</v>
      </c>
      <c r="AS302" s="3">
        <v>0.109914</v>
      </c>
      <c r="AT302" s="3">
        <v>2.61537</v>
      </c>
      <c r="AU302" s="3">
        <v>0</v>
      </c>
      <c r="AV302" s="3">
        <v>0.62133499999999997</v>
      </c>
      <c r="AW302" s="3">
        <v>1.2370300000000001</v>
      </c>
      <c r="AX302" s="3">
        <v>0</v>
      </c>
      <c r="AY302" s="3">
        <v>0.82594800000000002</v>
      </c>
      <c r="AZ302" s="21">
        <v>0.86034900000000003</v>
      </c>
      <c r="BA302" s="3">
        <v>28.52</v>
      </c>
      <c r="BB302" s="3">
        <v>2</v>
      </c>
    </row>
    <row r="303" spans="1:54" s="3" customFormat="1" ht="78.75" customHeight="1" x14ac:dyDescent="0.25">
      <c r="A303" s="2">
        <v>301</v>
      </c>
      <c r="B303" s="3">
        <v>8</v>
      </c>
      <c r="C303" s="2">
        <v>1</v>
      </c>
      <c r="D303" s="9">
        <v>77</v>
      </c>
      <c r="E303" s="3" t="s">
        <v>16</v>
      </c>
      <c r="F303" s="3">
        <f t="shared" ref="F303:F310" si="40">IF(E313="Happy", 1,2)</f>
        <v>2</v>
      </c>
      <c r="G303" s="11"/>
      <c r="H303" s="3" t="s">
        <v>17</v>
      </c>
      <c r="I303" s="3">
        <f t="shared" si="34"/>
        <v>1</v>
      </c>
      <c r="J303" s="3" t="s">
        <v>20</v>
      </c>
      <c r="K303" s="3">
        <v>3</v>
      </c>
      <c r="L303" s="6" t="s">
        <v>170</v>
      </c>
      <c r="M303" s="3">
        <v>70</v>
      </c>
      <c r="N303" s="3">
        <f t="shared" si="35"/>
        <v>0.7</v>
      </c>
      <c r="O303" s="3">
        <v>73</v>
      </c>
      <c r="P303" s="3">
        <v>0.73</v>
      </c>
      <c r="Q303" s="17">
        <v>0.39045454545454539</v>
      </c>
      <c r="R303" s="21">
        <v>0.29462225429738448</v>
      </c>
      <c r="S303" s="3">
        <v>6</v>
      </c>
      <c r="T303" s="3">
        <v>136.13999999999999</v>
      </c>
      <c r="U303" s="3">
        <v>174.57</v>
      </c>
      <c r="V303" s="26">
        <v>1.22199007452208</v>
      </c>
      <c r="W303" s="18">
        <v>1.3954054137460701</v>
      </c>
      <c r="X303" s="18">
        <v>1.9736242586731001</v>
      </c>
      <c r="Y303" s="18">
        <v>0.89323617745338402</v>
      </c>
      <c r="Z303" s="18">
        <v>0.537423446570098</v>
      </c>
      <c r="AA303" s="18">
        <v>0.19790807057585399</v>
      </c>
      <c r="AB303" s="18">
        <v>-0.28136007554305198</v>
      </c>
      <c r="AC303" s="18">
        <v>-1.3333555984247301</v>
      </c>
      <c r="AD303" s="18">
        <v>-0.40847836005298799</v>
      </c>
      <c r="AE303" s="21">
        <v>9.3828916212748595E-2</v>
      </c>
      <c r="AF303" s="3">
        <v>1.96773</v>
      </c>
      <c r="AG303" s="3">
        <v>0.174703</v>
      </c>
      <c r="AH303" s="3">
        <v>3.23895</v>
      </c>
      <c r="AI303" s="3">
        <v>34.263399999999997</v>
      </c>
      <c r="AJ303" s="3">
        <v>0.12363399999999999</v>
      </c>
      <c r="AK303" s="3">
        <v>0.866201</v>
      </c>
      <c r="AL303" s="3">
        <v>0.218636</v>
      </c>
      <c r="AM303" s="3">
        <v>0.24152299999999999</v>
      </c>
      <c r="AN303" s="3">
        <v>6.0244900000000001</v>
      </c>
      <c r="AO303" s="3">
        <v>12.0875</v>
      </c>
      <c r="AP303" s="3">
        <v>9.3069399999999997E-2</v>
      </c>
      <c r="AQ303" s="3">
        <v>0.79491500000000004</v>
      </c>
      <c r="AR303" s="3">
        <v>3.6855799999999999</v>
      </c>
      <c r="AS303" s="3">
        <v>0.19752600000000001</v>
      </c>
      <c r="AT303" s="3">
        <v>3.0039899999999999</v>
      </c>
      <c r="AU303" s="3">
        <v>0.24987000000000001</v>
      </c>
      <c r="AV303" s="3">
        <v>0.17083300000000001</v>
      </c>
      <c r="AW303" s="3">
        <v>5.9007500000000004</v>
      </c>
      <c r="AX303" s="3">
        <v>2.09266</v>
      </c>
      <c r="AY303" s="3">
        <v>0.80096000000000001</v>
      </c>
      <c r="AZ303" s="21">
        <v>6.4673400000000001</v>
      </c>
      <c r="BA303" s="3">
        <v>38.43</v>
      </c>
      <c r="BB303" s="3">
        <v>3</v>
      </c>
    </row>
    <row r="304" spans="1:54" s="3" customFormat="1" ht="78.75" customHeight="1" x14ac:dyDescent="0.25">
      <c r="A304" s="2">
        <v>302</v>
      </c>
      <c r="B304" s="3">
        <v>8</v>
      </c>
      <c r="C304" s="2">
        <v>1</v>
      </c>
      <c r="D304" s="9">
        <v>77</v>
      </c>
      <c r="E304" s="3" t="s">
        <v>16</v>
      </c>
      <c r="F304" s="3">
        <f t="shared" si="40"/>
        <v>2</v>
      </c>
      <c r="G304" s="11"/>
      <c r="H304" s="3" t="s">
        <v>17</v>
      </c>
      <c r="I304" s="3">
        <f t="shared" si="34"/>
        <v>1</v>
      </c>
      <c r="J304" s="3" t="s">
        <v>21</v>
      </c>
      <c r="K304" s="3">
        <v>4</v>
      </c>
      <c r="L304" s="6" t="s">
        <v>149</v>
      </c>
      <c r="M304" s="3">
        <v>70</v>
      </c>
      <c r="N304" s="3">
        <f t="shared" si="35"/>
        <v>0.7</v>
      </c>
      <c r="O304" s="3">
        <v>73</v>
      </c>
      <c r="P304" s="3">
        <v>0.73</v>
      </c>
      <c r="Q304" s="17">
        <v>0.29395833333333332</v>
      </c>
      <c r="R304" s="21">
        <v>0.190321235333968</v>
      </c>
      <c r="S304" s="3">
        <v>8</v>
      </c>
      <c r="T304" s="3">
        <v>182.85</v>
      </c>
      <c r="U304" s="3">
        <v>225.08</v>
      </c>
      <c r="V304" s="26">
        <v>0.193441518517904</v>
      </c>
      <c r="W304" s="18">
        <v>-0.80775818356722295</v>
      </c>
      <c r="X304" s="18">
        <v>-0.31170395908270998</v>
      </c>
      <c r="Y304" s="18">
        <v>-0.20759559175522699</v>
      </c>
      <c r="Z304" s="18">
        <v>-0.444427897325891</v>
      </c>
      <c r="AA304" s="18">
        <v>-0.53641409595491696</v>
      </c>
      <c r="AB304" s="18">
        <v>-0.34436642727254702</v>
      </c>
      <c r="AC304" s="18">
        <v>1.1433503333980299</v>
      </c>
      <c r="AD304" s="18">
        <v>-0.450256868089771</v>
      </c>
      <c r="AE304" s="21">
        <v>2.1987750667024599E-2</v>
      </c>
      <c r="AF304" s="3">
        <v>2.9289100000000001</v>
      </c>
      <c r="AG304" s="3">
        <v>0.22906599999999999</v>
      </c>
      <c r="AH304" s="3">
        <v>3.3116699999999999</v>
      </c>
      <c r="AI304" s="3">
        <v>42.113700000000001</v>
      </c>
      <c r="AJ304" s="3">
        <v>0.30493500000000001</v>
      </c>
      <c r="AK304" s="3">
        <v>0.45116200000000001</v>
      </c>
      <c r="AL304" s="3">
        <v>0</v>
      </c>
      <c r="AM304" s="3">
        <v>0.100304</v>
      </c>
      <c r="AN304" s="3">
        <v>-0.264098</v>
      </c>
      <c r="AO304" s="3">
        <v>10.379099999999999</v>
      </c>
      <c r="AP304" s="3">
        <v>8.7259900000000001E-2</v>
      </c>
      <c r="AQ304" s="3">
        <v>1.21191</v>
      </c>
      <c r="AR304" s="3">
        <v>5.6018999999999997</v>
      </c>
      <c r="AS304" s="3">
        <v>6.9641900000000007E-2</v>
      </c>
      <c r="AT304" s="3">
        <v>2.3483299999999998</v>
      </c>
      <c r="AU304" s="3">
        <v>0.82464499999999996</v>
      </c>
      <c r="AV304" s="3">
        <v>0.784358</v>
      </c>
      <c r="AW304" s="3">
        <v>10.144500000000001</v>
      </c>
      <c r="AX304" s="3">
        <v>1.05213</v>
      </c>
      <c r="AY304" s="3">
        <v>0.308915</v>
      </c>
      <c r="AZ304" s="21">
        <v>4.8519800000000002</v>
      </c>
      <c r="BA304" s="3">
        <v>42.23</v>
      </c>
      <c r="BB304" s="3">
        <v>4</v>
      </c>
    </row>
    <row r="305" spans="1:54" s="3" customFormat="1" ht="141.75" customHeight="1" x14ac:dyDescent="0.25">
      <c r="A305" s="2">
        <v>303</v>
      </c>
      <c r="B305" s="3">
        <v>8</v>
      </c>
      <c r="C305" s="2">
        <v>1</v>
      </c>
      <c r="D305" s="9">
        <v>77</v>
      </c>
      <c r="E305" s="3" t="s">
        <v>16</v>
      </c>
      <c r="F305" s="3">
        <f t="shared" si="40"/>
        <v>2</v>
      </c>
      <c r="G305" s="11"/>
      <c r="H305" s="3" t="s">
        <v>17</v>
      </c>
      <c r="I305" s="3">
        <f t="shared" si="34"/>
        <v>1</v>
      </c>
      <c r="J305" s="3" t="s">
        <v>22</v>
      </c>
      <c r="K305" s="3">
        <v>5</v>
      </c>
      <c r="L305" s="6" t="s">
        <v>241</v>
      </c>
      <c r="M305" s="3">
        <v>70</v>
      </c>
      <c r="N305" s="3">
        <f t="shared" si="35"/>
        <v>0.7</v>
      </c>
      <c r="O305" s="3">
        <v>73</v>
      </c>
      <c r="P305" s="3">
        <v>0.73</v>
      </c>
      <c r="Q305" s="17">
        <v>0.35449999999999998</v>
      </c>
      <c r="R305" s="21">
        <v>0.29752133962266342</v>
      </c>
      <c r="S305" s="3">
        <v>10</v>
      </c>
      <c r="T305" s="3">
        <v>226.32</v>
      </c>
      <c r="U305" s="3">
        <v>290.07</v>
      </c>
      <c r="V305" s="26">
        <v>-0.75176858631828503</v>
      </c>
      <c r="W305" s="18">
        <v>-0.47214030149767999</v>
      </c>
      <c r="X305" s="18">
        <v>-0.54390685970118102</v>
      </c>
      <c r="Y305" s="18">
        <v>0.57410588287188302</v>
      </c>
      <c r="Z305" s="18">
        <v>-0.56954355192503203</v>
      </c>
      <c r="AA305" s="18">
        <v>-0.69446839882483502</v>
      </c>
      <c r="AB305" s="18">
        <v>-0.359254351114633</v>
      </c>
      <c r="AC305" s="18">
        <v>1.4753978090051301</v>
      </c>
      <c r="AD305" s="18">
        <v>-1.10544997825391</v>
      </c>
      <c r="AE305" s="21">
        <v>0.36682534528650002</v>
      </c>
      <c r="AF305" s="3">
        <v>1.9956100000000001</v>
      </c>
      <c r="AG305" s="3">
        <v>0.25050699999999998</v>
      </c>
      <c r="AH305" s="3">
        <v>3.8556499999999998</v>
      </c>
      <c r="AI305" s="3">
        <v>48.817100000000003</v>
      </c>
      <c r="AJ305" s="3">
        <v>0.24549299999999999</v>
      </c>
      <c r="AK305" s="3">
        <v>1.12948</v>
      </c>
      <c r="AL305" s="3">
        <v>0</v>
      </c>
      <c r="AM305" s="3">
        <v>0.33100499999999999</v>
      </c>
      <c r="AN305" s="3">
        <v>1.2425299999999999</v>
      </c>
      <c r="AO305" s="3">
        <v>9.1873199999999997</v>
      </c>
      <c r="AP305" s="3">
        <v>0.224939</v>
      </c>
      <c r="AQ305" s="3">
        <v>1.1785300000000001</v>
      </c>
      <c r="AR305" s="3">
        <v>2.8239700000000001</v>
      </c>
      <c r="AS305" s="3">
        <v>0.18629399999999999</v>
      </c>
      <c r="AT305" s="3">
        <v>3.1741299999999999</v>
      </c>
      <c r="AU305" s="3">
        <v>0</v>
      </c>
      <c r="AV305" s="3">
        <v>0.38403100000000001</v>
      </c>
      <c r="AW305" s="3">
        <v>0.67811500000000002</v>
      </c>
      <c r="AX305" s="3">
        <v>0.92249800000000004</v>
      </c>
      <c r="AY305" s="3">
        <v>0.98438999999999999</v>
      </c>
      <c r="AZ305" s="21">
        <v>9.4254599999999993</v>
      </c>
      <c r="BA305" s="3">
        <v>63.744999999999997</v>
      </c>
      <c r="BB305" s="3">
        <v>5</v>
      </c>
    </row>
    <row r="306" spans="1:54" s="3" customFormat="1" ht="31.5" customHeight="1" x14ac:dyDescent="0.25">
      <c r="A306" s="2">
        <v>304</v>
      </c>
      <c r="B306" s="3">
        <v>8</v>
      </c>
      <c r="C306" s="2">
        <v>1</v>
      </c>
      <c r="D306" s="9">
        <v>77</v>
      </c>
      <c r="E306" s="3" t="s">
        <v>16</v>
      </c>
      <c r="F306" s="3">
        <f t="shared" si="40"/>
        <v>2</v>
      </c>
      <c r="G306" s="11"/>
      <c r="H306" s="3" t="s">
        <v>17</v>
      </c>
      <c r="I306" s="3">
        <f t="shared" si="34"/>
        <v>1</v>
      </c>
      <c r="J306" s="3" t="s">
        <v>23</v>
      </c>
      <c r="K306" s="3">
        <v>6</v>
      </c>
      <c r="L306" s="6" t="s">
        <v>174</v>
      </c>
      <c r="M306" s="3">
        <v>70</v>
      </c>
      <c r="N306" s="3">
        <f t="shared" si="35"/>
        <v>0.7</v>
      </c>
      <c r="O306" s="3">
        <v>73</v>
      </c>
      <c r="P306" s="3">
        <v>0.73</v>
      </c>
      <c r="Q306" s="17">
        <v>0.14499999999999999</v>
      </c>
      <c r="R306" s="21">
        <v>0.1585086748414736</v>
      </c>
      <c r="S306" s="3">
        <v>12</v>
      </c>
      <c r="T306" s="3">
        <v>304.25</v>
      </c>
      <c r="U306" s="3">
        <v>320.89</v>
      </c>
      <c r="V306" s="26">
        <v>1.75993505389395E-2</v>
      </c>
      <c r="W306" s="18">
        <v>0.14077424032369401</v>
      </c>
      <c r="X306" s="18">
        <v>-0.54876262998269998</v>
      </c>
      <c r="Y306" s="18">
        <v>0.78491948017212898</v>
      </c>
      <c r="Z306" s="18">
        <v>-2.0400498662336402</v>
      </c>
      <c r="AA306" s="18">
        <v>-2.0103720542282999</v>
      </c>
      <c r="AB306" s="18">
        <v>0.18052199636081701</v>
      </c>
      <c r="AC306" s="18">
        <v>-0.80004798941905897</v>
      </c>
      <c r="AD306" s="18">
        <v>-1.4154730339236801</v>
      </c>
      <c r="AE306" s="21">
        <v>2.7822849779682799</v>
      </c>
      <c r="AF306" s="3">
        <v>0</v>
      </c>
      <c r="AG306" s="3">
        <v>0.26131599999999999</v>
      </c>
      <c r="AH306" s="3">
        <v>-0.35154600000000003</v>
      </c>
      <c r="AI306" s="3">
        <v>51.696800000000003</v>
      </c>
      <c r="AJ306" s="3">
        <v>0.15171499999999999</v>
      </c>
      <c r="AK306" s="3">
        <v>0.100109</v>
      </c>
      <c r="AL306" s="3">
        <v>0</v>
      </c>
      <c r="AM306" s="3">
        <v>0</v>
      </c>
      <c r="AN306" s="3">
        <v>-0.488091</v>
      </c>
      <c r="AO306" s="3">
        <v>28.086600000000001</v>
      </c>
      <c r="AP306" s="3">
        <v>0.100006</v>
      </c>
      <c r="AQ306" s="3">
        <v>0.66308100000000003</v>
      </c>
      <c r="AR306" s="3">
        <v>9.9639000000000006</v>
      </c>
      <c r="AS306" s="3">
        <v>0.14411499999999999</v>
      </c>
      <c r="AT306" s="3">
        <v>2.4872700000000001</v>
      </c>
      <c r="AU306" s="3">
        <v>0</v>
      </c>
      <c r="AV306" s="3">
        <v>0.12529499999999999</v>
      </c>
      <c r="AW306" s="3">
        <v>-0.37543399999999999</v>
      </c>
      <c r="AX306" s="3">
        <v>0</v>
      </c>
      <c r="AY306" s="3">
        <v>0</v>
      </c>
      <c r="AZ306" s="21">
        <v>-0.49460700000000002</v>
      </c>
      <c r="BA306" s="3">
        <v>16.643000000000001</v>
      </c>
      <c r="BB306" s="3">
        <v>6</v>
      </c>
    </row>
    <row r="307" spans="1:54" s="3" customFormat="1" ht="409.5" customHeight="1" x14ac:dyDescent="0.25">
      <c r="A307" s="2">
        <v>305</v>
      </c>
      <c r="B307" s="3">
        <v>8</v>
      </c>
      <c r="C307" s="2">
        <v>1</v>
      </c>
      <c r="D307" s="9">
        <v>77</v>
      </c>
      <c r="E307" s="3" t="s">
        <v>16</v>
      </c>
      <c r="F307" s="3">
        <f t="shared" si="40"/>
        <v>2</v>
      </c>
      <c r="G307" s="3" t="s">
        <v>26</v>
      </c>
      <c r="H307" s="3" t="s">
        <v>26</v>
      </c>
      <c r="I307" s="3">
        <f t="shared" si="34"/>
        <v>2</v>
      </c>
      <c r="J307" s="3" t="s">
        <v>27</v>
      </c>
      <c r="K307" s="3">
        <v>1</v>
      </c>
      <c r="L307" s="6" t="s">
        <v>243</v>
      </c>
      <c r="M307" s="3">
        <v>97</v>
      </c>
      <c r="N307" s="3">
        <f t="shared" si="35"/>
        <v>0.97</v>
      </c>
      <c r="O307" s="3">
        <v>75</v>
      </c>
      <c r="P307" s="3">
        <v>0.75</v>
      </c>
      <c r="Q307" s="17">
        <v>0.264018018018018</v>
      </c>
      <c r="R307" s="21">
        <v>0.41999577004329658</v>
      </c>
      <c r="S307" s="3">
        <v>2</v>
      </c>
      <c r="T307" s="3">
        <v>31.26</v>
      </c>
      <c r="U307" s="3">
        <v>322.14</v>
      </c>
      <c r="V307" s="26">
        <v>-0.56342237735496403</v>
      </c>
      <c r="W307" s="18">
        <v>-0.173363762324518</v>
      </c>
      <c r="X307" s="18">
        <v>-0.50309510355509401</v>
      </c>
      <c r="Y307" s="18">
        <v>-0.90638207244579805</v>
      </c>
      <c r="Z307" s="18">
        <v>0.141526633877533</v>
      </c>
      <c r="AA307" s="18">
        <v>0.10886143630679899</v>
      </c>
      <c r="AB307" s="18">
        <v>0.245776616515821</v>
      </c>
      <c r="AC307" s="18">
        <v>-0.64703949683528805</v>
      </c>
      <c r="AD307" s="18">
        <v>0.74142533734034399</v>
      </c>
      <c r="AE307" s="21">
        <v>-0.77624742206324204</v>
      </c>
      <c r="AF307" s="3">
        <v>1.5223800000000001</v>
      </c>
      <c r="AG307" s="3">
        <v>0.33190999999999998</v>
      </c>
      <c r="AH307" s="3">
        <v>3.7896899999999998</v>
      </c>
      <c r="AI307" s="3">
        <v>38.455599999999997</v>
      </c>
      <c r="AJ307" s="3">
        <v>0.23519100000000001</v>
      </c>
      <c r="AK307" s="3">
        <v>1.07853</v>
      </c>
      <c r="AL307" s="3">
        <v>6.18854E-2</v>
      </c>
      <c r="AM307" s="3">
        <v>0.21757000000000001</v>
      </c>
      <c r="AN307" s="3">
        <v>8.0566099999999992</v>
      </c>
      <c r="AO307" s="3">
        <v>17.1051</v>
      </c>
      <c r="AP307" s="3">
        <v>0.21657399999999999</v>
      </c>
      <c r="AQ307" s="3">
        <v>1.1792199999999999</v>
      </c>
      <c r="AR307" s="3">
        <v>1.39036</v>
      </c>
      <c r="AS307" s="3">
        <v>6.6708299999999998E-2</v>
      </c>
      <c r="AT307" s="3">
        <v>2.02833</v>
      </c>
      <c r="AU307" s="3">
        <v>5.7759699999999997E-2</v>
      </c>
      <c r="AV307" s="3">
        <v>7.2191000000000005E-2</v>
      </c>
      <c r="AW307" s="3">
        <v>3.5747800000000001</v>
      </c>
      <c r="AX307" s="3">
        <v>0.81276199999999998</v>
      </c>
      <c r="AY307" s="3">
        <v>0.956708</v>
      </c>
      <c r="AZ307" s="21">
        <v>6.6016300000000001</v>
      </c>
      <c r="BA307" s="3">
        <v>290.88</v>
      </c>
      <c r="BB307" s="3">
        <v>1</v>
      </c>
    </row>
    <row r="308" spans="1:54" s="3" customFormat="1" ht="283.5" customHeight="1" x14ac:dyDescent="0.25">
      <c r="A308" s="2">
        <v>306</v>
      </c>
      <c r="B308" s="3">
        <v>8</v>
      </c>
      <c r="C308" s="2">
        <v>1</v>
      </c>
      <c r="D308" s="9">
        <v>77</v>
      </c>
      <c r="E308" s="3" t="s">
        <v>16</v>
      </c>
      <c r="F308" s="3">
        <f t="shared" si="40"/>
        <v>2</v>
      </c>
      <c r="G308" s="11" t="s">
        <v>38</v>
      </c>
      <c r="H308" s="3" t="s">
        <v>38</v>
      </c>
      <c r="I308" s="3">
        <f t="shared" si="34"/>
        <v>3</v>
      </c>
      <c r="J308" s="3" t="s">
        <v>39</v>
      </c>
      <c r="K308" s="3">
        <v>1</v>
      </c>
      <c r="L308" s="6" t="s">
        <v>244</v>
      </c>
      <c r="M308" s="3">
        <v>92</v>
      </c>
      <c r="N308" s="3">
        <f t="shared" si="35"/>
        <v>0.92</v>
      </c>
      <c r="O308" s="3">
        <v>89</v>
      </c>
      <c r="P308" s="3">
        <v>0.89</v>
      </c>
      <c r="Q308" s="17">
        <v>0.54194792536897796</v>
      </c>
      <c r="R308" s="21">
        <v>0.30997173521627658</v>
      </c>
      <c r="S308" s="3">
        <v>2</v>
      </c>
      <c r="T308" s="3">
        <v>17.78</v>
      </c>
      <c r="U308" s="3">
        <v>208.69</v>
      </c>
      <c r="V308" s="26">
        <v>-0.74273425304162999</v>
      </c>
      <c r="W308" s="18">
        <v>-1.0456802982686999</v>
      </c>
      <c r="X308" s="18">
        <v>-0.53183506549460302</v>
      </c>
      <c r="Y308" s="18">
        <v>0.18554883036169501</v>
      </c>
      <c r="Z308" s="18">
        <v>9.8269769628646295E-2</v>
      </c>
      <c r="AA308" s="18">
        <v>0.31293242810280902</v>
      </c>
      <c r="AB308" s="18">
        <v>-1.2345710521434199</v>
      </c>
      <c r="AC308" s="18">
        <v>-0.64132548673879797</v>
      </c>
      <c r="AD308" s="18">
        <v>0.70660991397635897</v>
      </c>
      <c r="AE308" s="21">
        <v>-1.1290673684100201</v>
      </c>
      <c r="AF308" s="3">
        <v>0.63488699999999998</v>
      </c>
      <c r="AG308" s="3">
        <v>0.26788899999999999</v>
      </c>
      <c r="AH308" s="3">
        <v>5.0999400000000001</v>
      </c>
      <c r="AI308" s="3">
        <v>12.8675</v>
      </c>
      <c r="AJ308" s="3">
        <v>0.13761100000000001</v>
      </c>
      <c r="AK308" s="3">
        <v>0.62687400000000004</v>
      </c>
      <c r="AL308" s="3">
        <v>0.465165</v>
      </c>
      <c r="AM308" s="3">
        <v>0.104902</v>
      </c>
      <c r="AN308" s="3">
        <v>6.9717200000000004</v>
      </c>
      <c r="AO308" s="3">
        <v>22.862200000000001</v>
      </c>
      <c r="AP308" s="3">
        <v>0.124491</v>
      </c>
      <c r="AQ308" s="3">
        <v>0.85921400000000003</v>
      </c>
      <c r="AR308" s="3">
        <v>1.15663</v>
      </c>
      <c r="AS308" s="3">
        <v>2.2360700000000001E-2</v>
      </c>
      <c r="AT308" s="3">
        <v>2.0045700000000002</v>
      </c>
      <c r="AU308" s="3">
        <v>5.0288100000000002E-2</v>
      </c>
      <c r="AV308" s="3">
        <v>0.11361</v>
      </c>
      <c r="AW308" s="3">
        <v>4.3740399999999999</v>
      </c>
      <c r="AX308" s="3">
        <v>1.1126199999999999</v>
      </c>
      <c r="AY308" s="3">
        <v>0.84636599999999995</v>
      </c>
      <c r="AZ308" s="21">
        <v>5.8388900000000001</v>
      </c>
      <c r="BA308" s="3">
        <v>190.91</v>
      </c>
      <c r="BB308" s="3">
        <v>1</v>
      </c>
    </row>
    <row r="309" spans="1:54" s="3" customFormat="1" ht="141.75" customHeight="1" x14ac:dyDescent="0.25">
      <c r="A309" s="2">
        <v>307</v>
      </c>
      <c r="B309" s="3">
        <v>8</v>
      </c>
      <c r="C309" s="2">
        <v>1</v>
      </c>
      <c r="D309" s="9">
        <v>77</v>
      </c>
      <c r="E309" s="3" t="s">
        <v>16</v>
      </c>
      <c r="F309" s="3">
        <f t="shared" si="40"/>
        <v>2</v>
      </c>
      <c r="G309" s="11"/>
      <c r="H309" s="3" t="s">
        <v>38</v>
      </c>
      <c r="I309" s="3">
        <f t="shared" si="34"/>
        <v>3</v>
      </c>
      <c r="J309" s="3" t="s">
        <v>40</v>
      </c>
      <c r="K309" s="3">
        <v>2</v>
      </c>
      <c r="L309" s="6" t="s">
        <v>207</v>
      </c>
      <c r="M309" s="3">
        <v>92</v>
      </c>
      <c r="N309" s="3">
        <f t="shared" si="35"/>
        <v>0.92</v>
      </c>
      <c r="O309" s="3">
        <v>89</v>
      </c>
      <c r="P309" s="3">
        <v>0.89</v>
      </c>
      <c r="Q309" s="17">
        <v>0.34861111111111109</v>
      </c>
      <c r="R309" s="21">
        <v>0.25798961602225118</v>
      </c>
      <c r="S309" s="3">
        <v>4</v>
      </c>
      <c r="T309" s="3">
        <v>209.75</v>
      </c>
      <c r="U309" s="3">
        <v>265.45</v>
      </c>
      <c r="V309" s="26">
        <v>0.65293930583534199</v>
      </c>
      <c r="W309" s="18">
        <v>0.340813468267957</v>
      </c>
      <c r="X309" s="18">
        <v>-0.35414315163661902</v>
      </c>
      <c r="Y309" s="18">
        <v>0.39300748571074701</v>
      </c>
      <c r="Z309" s="18">
        <v>0.183534612281962</v>
      </c>
      <c r="AA309" s="18">
        <v>0.26642952510504703</v>
      </c>
      <c r="AB309" s="18">
        <v>0.100900392608661</v>
      </c>
      <c r="AC309" s="18">
        <v>-0.49212633421935598</v>
      </c>
      <c r="AD309" s="18">
        <v>-1.48261706469708</v>
      </c>
      <c r="AE309" s="21">
        <v>-1.9520478314949099E-2</v>
      </c>
      <c r="AF309" s="3">
        <v>0</v>
      </c>
      <c r="AG309" s="3">
        <v>0.20729300000000001</v>
      </c>
      <c r="AH309" s="3">
        <v>-0.453567</v>
      </c>
      <c r="AI309" s="3">
        <v>19.762899999999998</v>
      </c>
      <c r="AJ309" s="3">
        <v>0.11192299999999999</v>
      </c>
      <c r="AK309" s="3">
        <v>0.57759199999999999</v>
      </c>
      <c r="AL309" s="3">
        <v>0</v>
      </c>
      <c r="AM309" s="3">
        <v>7.3375300000000004E-2</v>
      </c>
      <c r="AN309" s="3">
        <v>-0.23682800000000001</v>
      </c>
      <c r="AO309" s="3">
        <v>19.6767</v>
      </c>
      <c r="AP309" s="3">
        <v>0.17786399999999999</v>
      </c>
      <c r="AQ309" s="3">
        <v>1.1516299999999999</v>
      </c>
      <c r="AR309" s="3">
        <v>0.71120700000000003</v>
      </c>
      <c r="AS309" s="3">
        <v>4.6224099999999997E-2</v>
      </c>
      <c r="AT309" s="3">
        <v>2.2035100000000001</v>
      </c>
      <c r="AU309" s="3">
        <v>0</v>
      </c>
      <c r="AV309" s="3">
        <v>0</v>
      </c>
      <c r="AW309" s="3">
        <v>-0.66921200000000003</v>
      </c>
      <c r="AX309" s="3">
        <v>0.36637900000000001</v>
      </c>
      <c r="AY309" s="3">
        <v>0.90397400000000006</v>
      </c>
      <c r="AZ309" s="21">
        <v>4.1649500000000002</v>
      </c>
      <c r="BA309" s="3">
        <v>55.7</v>
      </c>
      <c r="BB309" s="3">
        <v>2</v>
      </c>
    </row>
    <row r="310" spans="1:54" s="3" customFormat="1" ht="173.25" customHeight="1" x14ac:dyDescent="0.25">
      <c r="A310" s="2">
        <v>308</v>
      </c>
      <c r="B310" s="3">
        <v>8</v>
      </c>
      <c r="C310" s="2">
        <v>1</v>
      </c>
      <c r="D310" s="9">
        <v>77</v>
      </c>
      <c r="E310" s="3" t="s">
        <v>16</v>
      </c>
      <c r="F310" s="3">
        <f t="shared" si="40"/>
        <v>2</v>
      </c>
      <c r="G310" s="11"/>
      <c r="H310" s="3" t="s">
        <v>38</v>
      </c>
      <c r="I310" s="3">
        <f t="shared" si="34"/>
        <v>3</v>
      </c>
      <c r="J310" s="3" t="s">
        <v>41</v>
      </c>
      <c r="K310" s="3">
        <v>3</v>
      </c>
      <c r="L310" s="6" t="s">
        <v>245</v>
      </c>
      <c r="M310" s="3">
        <v>92</v>
      </c>
      <c r="N310" s="3">
        <f t="shared" si="35"/>
        <v>0.92</v>
      </c>
      <c r="O310" s="3">
        <v>89</v>
      </c>
      <c r="P310" s="3">
        <v>0.89</v>
      </c>
      <c r="Q310" s="17">
        <v>0.31902222222222221</v>
      </c>
      <c r="R310" s="21">
        <v>0.44568154455108322</v>
      </c>
      <c r="S310" s="3">
        <v>6</v>
      </c>
      <c r="T310" s="3">
        <v>268.04000000000002</v>
      </c>
      <c r="U310" s="3">
        <v>372.12</v>
      </c>
      <c r="V310" s="26">
        <v>-1.0767427195452299</v>
      </c>
      <c r="W310" s="18">
        <v>-0.90012585218994301</v>
      </c>
      <c r="X310" s="18">
        <v>-0.59041164694249004</v>
      </c>
      <c r="Y310" s="18">
        <v>0.83859855139115902</v>
      </c>
      <c r="Z310" s="18">
        <v>0.39232561845965902</v>
      </c>
      <c r="AA310" s="18">
        <v>1.07354488408041</v>
      </c>
      <c r="AB310" s="18">
        <v>0.31720026588715999</v>
      </c>
      <c r="AC310" s="18">
        <v>-0.48196809404781998</v>
      </c>
      <c r="AD310" s="18">
        <v>-0.40052054899836298</v>
      </c>
      <c r="AE310" s="21">
        <v>0.47698179912327598</v>
      </c>
      <c r="AF310" s="3">
        <v>0</v>
      </c>
      <c r="AG310" s="3">
        <v>0.34797400000000001</v>
      </c>
      <c r="AH310" s="3">
        <v>-0.18493499999999999</v>
      </c>
      <c r="AI310" s="3">
        <v>34.906799999999997</v>
      </c>
      <c r="AJ310" s="3">
        <v>9.1631099999999993E-2</v>
      </c>
      <c r="AK310" s="3">
        <v>0.41723500000000002</v>
      </c>
      <c r="AL310" s="3">
        <v>0</v>
      </c>
      <c r="AM310" s="3">
        <v>8.0908900000000006E-2</v>
      </c>
      <c r="AN310" s="3">
        <v>-0.17577000000000001</v>
      </c>
      <c r="AO310" s="3">
        <v>16.525099999999998</v>
      </c>
      <c r="AP310" s="3">
        <v>0.11548</v>
      </c>
      <c r="AQ310" s="3">
        <v>0.66470899999999999</v>
      </c>
      <c r="AR310" s="3">
        <v>0.76109899999999997</v>
      </c>
      <c r="AS310" s="3">
        <v>2.9154800000000002E-2</v>
      </c>
      <c r="AT310" s="3">
        <v>2.0809099999999998</v>
      </c>
      <c r="AU310" s="3">
        <v>0.14991399999999999</v>
      </c>
      <c r="AV310" s="3">
        <v>0.259019</v>
      </c>
      <c r="AW310" s="3">
        <v>5.33066</v>
      </c>
      <c r="AX310" s="3">
        <v>1.13012</v>
      </c>
      <c r="AY310" s="3">
        <v>0.97686300000000004</v>
      </c>
      <c r="AZ310" s="21">
        <v>5.2276999999999996</v>
      </c>
      <c r="BA310" s="3">
        <v>104.08</v>
      </c>
      <c r="BB310" s="3">
        <v>3</v>
      </c>
    </row>
    <row r="311" spans="1:54" s="3" customFormat="1" ht="157.5" customHeight="1" x14ac:dyDescent="0.25">
      <c r="A311" s="2">
        <v>309</v>
      </c>
      <c r="B311" s="3">
        <v>8</v>
      </c>
      <c r="C311" s="2">
        <v>1</v>
      </c>
      <c r="D311" s="9">
        <v>77</v>
      </c>
      <c r="E311" s="3" t="s">
        <v>53</v>
      </c>
      <c r="F311" s="3">
        <f>IF(E322="Happy", 1,2)</f>
        <v>2</v>
      </c>
      <c r="G311" s="11" t="s">
        <v>54</v>
      </c>
      <c r="H311" s="3" t="s">
        <v>54</v>
      </c>
      <c r="I311" s="3">
        <f t="shared" si="34"/>
        <v>1</v>
      </c>
      <c r="J311" s="3" t="s">
        <v>55</v>
      </c>
      <c r="K311" s="3">
        <v>1</v>
      </c>
      <c r="L311" s="6" t="s">
        <v>246</v>
      </c>
      <c r="M311" s="3">
        <v>-65</v>
      </c>
      <c r="N311" s="3">
        <f t="shared" si="35"/>
        <v>-0.65</v>
      </c>
      <c r="O311" s="3">
        <v>1</v>
      </c>
      <c r="P311" s="3">
        <v>0.01</v>
      </c>
      <c r="Q311" s="17">
        <v>6.957431457431458E-2</v>
      </c>
      <c r="R311" s="21">
        <v>0.36421966111519338</v>
      </c>
      <c r="S311" s="3">
        <v>2</v>
      </c>
      <c r="T311" s="3">
        <v>22.69</v>
      </c>
      <c r="U311" s="3">
        <v>160.53</v>
      </c>
      <c r="V311" s="26">
        <v>-0.33344902821111</v>
      </c>
      <c r="W311" s="18">
        <v>-0.711349952831134</v>
      </c>
      <c r="X311" s="18">
        <v>-0.448672294569466</v>
      </c>
      <c r="Y311" s="18">
        <v>-1.8743855276685499</v>
      </c>
      <c r="Z311" s="18">
        <v>-2.1759513531258099</v>
      </c>
      <c r="AA311" s="18">
        <v>-2.1601954474563501</v>
      </c>
      <c r="AB311" s="18">
        <v>-0.15172820827714201</v>
      </c>
      <c r="AC311" s="18">
        <v>-1.46033360056893</v>
      </c>
      <c r="AD311" s="18">
        <v>1.4745386807476899</v>
      </c>
      <c r="AE311" s="21">
        <v>-0.95345563040935999</v>
      </c>
      <c r="AF311" s="3">
        <v>0.40052199999999999</v>
      </c>
      <c r="AG311" s="3">
        <v>0.24563399999999999</v>
      </c>
      <c r="AH311" s="3">
        <v>7.7119400000000002</v>
      </c>
      <c r="AI311" s="3">
        <v>21.898099999999999</v>
      </c>
      <c r="AJ311" s="3">
        <v>0.18584000000000001</v>
      </c>
      <c r="AK311" s="3">
        <v>0.296906</v>
      </c>
      <c r="AL311" s="3">
        <v>0</v>
      </c>
      <c r="AM311" s="3">
        <v>5.7503600000000002E-2</v>
      </c>
      <c r="AN311" s="3">
        <v>-0.280808</v>
      </c>
      <c r="AO311" s="3">
        <v>14.3927</v>
      </c>
      <c r="AP311" s="3">
        <v>0.11643199999999999</v>
      </c>
      <c r="AQ311" s="3">
        <v>0.82781800000000005</v>
      </c>
      <c r="AR311" s="3">
        <v>1.6456200000000001</v>
      </c>
      <c r="AS311" s="3">
        <v>6.3455999999999999E-2</v>
      </c>
      <c r="AT311" s="3">
        <v>1.5508200000000001</v>
      </c>
      <c r="AU311" s="3">
        <v>0.12189800000000001</v>
      </c>
      <c r="AV311" s="3">
        <v>0.15526499999999999</v>
      </c>
      <c r="AW311" s="3">
        <v>4.3585000000000003</v>
      </c>
      <c r="AX311" s="3">
        <v>8.7070099999999997E-2</v>
      </c>
      <c r="AY311" s="3">
        <v>0.83234600000000003</v>
      </c>
      <c r="AZ311" s="21">
        <v>5.5073100000000004</v>
      </c>
      <c r="BA311" s="3">
        <v>137.84299999999999</v>
      </c>
      <c r="BB311" s="3">
        <v>1</v>
      </c>
    </row>
    <row r="312" spans="1:54" s="3" customFormat="1" ht="63" customHeight="1" x14ac:dyDescent="0.25">
      <c r="A312" s="2">
        <v>310</v>
      </c>
      <c r="B312" s="3">
        <v>8</v>
      </c>
      <c r="C312" s="2">
        <v>1</v>
      </c>
      <c r="D312" s="9">
        <v>77</v>
      </c>
      <c r="E312" s="3" t="s">
        <v>53</v>
      </c>
      <c r="F312" s="3">
        <f>IF(E323="Happy", 1,2)</f>
        <v>1</v>
      </c>
      <c r="G312" s="11"/>
      <c r="H312" s="3" t="s">
        <v>54</v>
      </c>
      <c r="I312" s="3">
        <f t="shared" si="34"/>
        <v>1</v>
      </c>
      <c r="J312" s="3" t="s">
        <v>56</v>
      </c>
      <c r="K312" s="3">
        <v>2</v>
      </c>
      <c r="L312" s="6" t="s">
        <v>240</v>
      </c>
      <c r="M312" s="3">
        <v>-65</v>
      </c>
      <c r="N312" s="3">
        <f t="shared" si="35"/>
        <v>-0.65</v>
      </c>
      <c r="O312" s="3">
        <v>1</v>
      </c>
      <c r="P312" s="3">
        <v>0.01</v>
      </c>
      <c r="Q312" s="17">
        <v>0.27203703703703702</v>
      </c>
      <c r="R312" s="21">
        <v>0.54417699402220709</v>
      </c>
      <c r="S312" s="3">
        <v>4</v>
      </c>
      <c r="T312" s="3">
        <v>163.59</v>
      </c>
      <c r="U312" s="3">
        <v>214.25</v>
      </c>
      <c r="V312" s="26">
        <v>1.7901336689564</v>
      </c>
      <c r="W312" s="18">
        <v>1.82555256049121</v>
      </c>
      <c r="X312" s="18">
        <v>2.1894774588620098</v>
      </c>
      <c r="Y312" s="18">
        <v>0.80717164617491399</v>
      </c>
      <c r="Z312" s="18">
        <v>1.26393440281321</v>
      </c>
      <c r="AA312" s="18">
        <v>1.4268141367266001</v>
      </c>
      <c r="AB312" s="18">
        <v>0.30063984967975499</v>
      </c>
      <c r="AC312" s="18">
        <v>0.86082427862717004</v>
      </c>
      <c r="AD312" s="18">
        <v>-0.17554659897489899</v>
      </c>
      <c r="AE312" s="21">
        <v>1.41091695121769</v>
      </c>
      <c r="AF312" s="3">
        <v>1.0426500000000001</v>
      </c>
      <c r="AG312" s="3">
        <v>0.18677099999999999</v>
      </c>
      <c r="AH312" s="3">
        <v>4.7719800000000001</v>
      </c>
      <c r="AI312" s="3">
        <v>28.033200000000001</v>
      </c>
      <c r="AJ312" s="3">
        <v>0.22220699999999999</v>
      </c>
      <c r="AK312" s="3">
        <v>1.7565599999999999</v>
      </c>
      <c r="AL312" s="3">
        <v>0</v>
      </c>
      <c r="AM312" s="3">
        <v>0.11915000000000001</v>
      </c>
      <c r="AN312" s="3">
        <v>-0.29111900000000002</v>
      </c>
      <c r="AO312" s="3">
        <v>2.891</v>
      </c>
      <c r="AP312" s="3">
        <v>9.5643199999999998E-2</v>
      </c>
      <c r="AQ312" s="3">
        <v>1.0394399999999999</v>
      </c>
      <c r="AR312" s="3">
        <v>3.6255899999999999</v>
      </c>
      <c r="AS312" s="3">
        <v>7.1924100000000005E-2</v>
      </c>
      <c r="AT312" s="3">
        <v>1.6582300000000001</v>
      </c>
      <c r="AU312" s="3">
        <v>0</v>
      </c>
      <c r="AV312" s="3">
        <v>0.17042199999999999</v>
      </c>
      <c r="AW312" s="3">
        <v>0.63203500000000001</v>
      </c>
      <c r="AX312" s="3">
        <v>0.35544999999999999</v>
      </c>
      <c r="AY312" s="3">
        <v>0.199069</v>
      </c>
      <c r="AZ312" s="21">
        <v>3.9666999999999999</v>
      </c>
      <c r="BA312" s="3">
        <v>50.662999999999997</v>
      </c>
      <c r="BB312" s="3">
        <v>2</v>
      </c>
    </row>
    <row r="313" spans="1:54" s="3" customFormat="1" ht="157.5" customHeight="1" x14ac:dyDescent="0.25">
      <c r="A313" s="2">
        <v>311</v>
      </c>
      <c r="B313" s="3">
        <v>8</v>
      </c>
      <c r="C313" s="2">
        <v>1</v>
      </c>
      <c r="D313" s="9">
        <v>77</v>
      </c>
      <c r="E313" s="3" t="s">
        <v>53</v>
      </c>
      <c r="F313" s="3">
        <f t="shared" ref="F313:F320" si="41">IF(E323="Happy", 1,2)</f>
        <v>1</v>
      </c>
      <c r="G313" s="11"/>
      <c r="H313" s="3" t="s">
        <v>54</v>
      </c>
      <c r="I313" s="3">
        <f t="shared" si="34"/>
        <v>1</v>
      </c>
      <c r="J313" s="3" t="s">
        <v>57</v>
      </c>
      <c r="K313" s="3">
        <v>3</v>
      </c>
      <c r="L313" s="6" t="s">
        <v>239</v>
      </c>
      <c r="M313" s="3">
        <v>-65</v>
      </c>
      <c r="N313" s="3">
        <f t="shared" si="35"/>
        <v>-0.65</v>
      </c>
      <c r="O313" s="3">
        <v>1</v>
      </c>
      <c r="P313" s="3">
        <v>0.01</v>
      </c>
      <c r="Q313" s="17">
        <v>-0.12798809523809521</v>
      </c>
      <c r="R313" s="21">
        <v>0.46820877129197308</v>
      </c>
      <c r="S313" s="3">
        <v>6</v>
      </c>
      <c r="T313" s="3">
        <v>219.83</v>
      </c>
      <c r="U313" s="3">
        <v>314.86</v>
      </c>
      <c r="V313" s="26">
        <v>-1.40004278894555</v>
      </c>
      <c r="W313" s="18">
        <v>-0.96394789158168404</v>
      </c>
      <c r="X313" s="18">
        <v>-0.61505519477814297</v>
      </c>
      <c r="Y313" s="18">
        <v>-0.354254482764359</v>
      </c>
      <c r="Z313" s="18">
        <v>-0.71725268680115195</v>
      </c>
      <c r="AA313" s="18">
        <v>-0.80417913113994599</v>
      </c>
      <c r="AB313" s="18">
        <v>0.315253594445561</v>
      </c>
      <c r="AC313" s="18">
        <v>-0.97591252238878401</v>
      </c>
      <c r="AD313" s="18">
        <v>0.26014355626582802</v>
      </c>
      <c r="AE313" s="21">
        <v>-0.35637572120712102</v>
      </c>
      <c r="AF313" s="3">
        <v>0</v>
      </c>
      <c r="AG313" s="3">
        <v>0.27775699999999998</v>
      </c>
      <c r="AH313" s="3">
        <v>-0.13505600000000001</v>
      </c>
      <c r="AI313" s="3">
        <v>31.1874</v>
      </c>
      <c r="AJ313" s="3">
        <v>0.23941999999999999</v>
      </c>
      <c r="AK313" s="3">
        <v>0.75556800000000002</v>
      </c>
      <c r="AL313" s="3">
        <v>1.1242099999999999</v>
      </c>
      <c r="AM313" s="3">
        <v>0.53073700000000001</v>
      </c>
      <c r="AN313" s="3">
        <v>10.7387</v>
      </c>
      <c r="AO313" s="3">
        <v>19.995799999999999</v>
      </c>
      <c r="AP313" s="3">
        <v>7.08284E-2</v>
      </c>
      <c r="AQ313" s="3">
        <v>0.79036600000000001</v>
      </c>
      <c r="AR313" s="3">
        <v>3.2084199999999998</v>
      </c>
      <c r="AS313" s="3">
        <v>6.3639600000000004E-2</v>
      </c>
      <c r="AT313" s="3">
        <v>1.6453199999999999</v>
      </c>
      <c r="AU313" s="3">
        <v>8.8421100000000002E-2</v>
      </c>
      <c r="AV313" s="3">
        <v>0.14535699999999999</v>
      </c>
      <c r="AW313" s="3">
        <v>3.8186</v>
      </c>
      <c r="AX313" s="3">
        <v>0.341053</v>
      </c>
      <c r="AY313" s="3">
        <v>0.104754</v>
      </c>
      <c r="AZ313" s="21">
        <v>3.4096500000000001</v>
      </c>
      <c r="BA313" s="3">
        <v>95.027000000000001</v>
      </c>
      <c r="BB313" s="3">
        <v>3</v>
      </c>
    </row>
    <row r="314" spans="1:54" s="3" customFormat="1" ht="141.75" customHeight="1" x14ac:dyDescent="0.25">
      <c r="A314" s="2">
        <v>312</v>
      </c>
      <c r="B314" s="3">
        <v>8</v>
      </c>
      <c r="C314" s="2">
        <v>1</v>
      </c>
      <c r="D314" s="9">
        <v>77</v>
      </c>
      <c r="E314" s="3" t="s">
        <v>53</v>
      </c>
      <c r="F314" s="3">
        <f t="shared" si="41"/>
        <v>1</v>
      </c>
      <c r="G314" s="11"/>
      <c r="H314" s="3" t="s">
        <v>54</v>
      </c>
      <c r="I314" s="3">
        <f t="shared" si="34"/>
        <v>1</v>
      </c>
      <c r="J314" s="3" t="s">
        <v>58</v>
      </c>
      <c r="K314" s="3">
        <v>4</v>
      </c>
      <c r="L314" s="6" t="s">
        <v>230</v>
      </c>
      <c r="M314" s="3">
        <v>-65</v>
      </c>
      <c r="N314" s="3">
        <f t="shared" si="35"/>
        <v>-0.65</v>
      </c>
      <c r="O314" s="3">
        <v>1</v>
      </c>
      <c r="P314" s="3">
        <v>0.01</v>
      </c>
      <c r="Q314" s="17">
        <v>3.5005555555555561E-2</v>
      </c>
      <c r="R314" s="21">
        <v>0.33813580608079569</v>
      </c>
      <c r="S314" s="3">
        <v>8</v>
      </c>
      <c r="T314" s="3">
        <v>327.96</v>
      </c>
      <c r="U314" s="3">
        <v>421.67</v>
      </c>
      <c r="V314" s="26">
        <v>-0.51157316028894095</v>
      </c>
      <c r="W314" s="18">
        <v>0.69489650984004703</v>
      </c>
      <c r="X314" s="18">
        <v>-0.31318329107256598</v>
      </c>
      <c r="Y314" s="18">
        <v>-7.6821323861927707E-2</v>
      </c>
      <c r="Z314" s="18">
        <v>-0.15411870602824401</v>
      </c>
      <c r="AA314" s="18">
        <v>0.454559641265527</v>
      </c>
      <c r="AB314" s="18">
        <v>-0.240370303638962</v>
      </c>
      <c r="AC314" s="18">
        <v>0.996055850910751</v>
      </c>
      <c r="AD314" s="18">
        <v>-0.27634553900015002</v>
      </c>
      <c r="AE314" s="21">
        <v>0.90004644067031703</v>
      </c>
      <c r="AF314" s="3">
        <v>0</v>
      </c>
      <c r="AG314" s="3">
        <v>0.21740100000000001</v>
      </c>
      <c r="AH314" s="3">
        <v>-0.34606300000000001</v>
      </c>
      <c r="AI314" s="3">
        <v>28.5336</v>
      </c>
      <c r="AJ314" s="3">
        <v>0.42346099999999998</v>
      </c>
      <c r="AK314" s="3">
        <v>1.0669900000000001</v>
      </c>
      <c r="AL314" s="3">
        <v>0.12806799999999999</v>
      </c>
      <c r="AM314" s="3">
        <v>4.1365600000000002E-2</v>
      </c>
      <c r="AN314" s="3">
        <v>5.3814099999999998</v>
      </c>
      <c r="AO314" s="3">
        <v>14.433299999999999</v>
      </c>
      <c r="AP314" s="3">
        <v>0.19287599999999999</v>
      </c>
      <c r="AQ314" s="3">
        <v>1.09036</v>
      </c>
      <c r="AR314" s="3">
        <v>4.9178199999999999</v>
      </c>
      <c r="AS314" s="3">
        <v>0.228968</v>
      </c>
      <c r="AT314" s="3">
        <v>2.2200099999999998</v>
      </c>
      <c r="AU314" s="3">
        <v>7.6841000000000007E-2</v>
      </c>
      <c r="AV314" s="3">
        <v>6.1210000000000001E-2</v>
      </c>
      <c r="AW314" s="3">
        <v>3.3580299999999998</v>
      </c>
      <c r="AX314" s="3">
        <v>0</v>
      </c>
      <c r="AY314" s="3">
        <v>0.17705000000000001</v>
      </c>
      <c r="AZ314" s="21">
        <v>0.24074000000000001</v>
      </c>
      <c r="BA314" s="3">
        <v>93.712999999999994</v>
      </c>
      <c r="BB314" s="3">
        <v>4</v>
      </c>
    </row>
    <row r="315" spans="1:54" s="3" customFormat="1" ht="31.5" customHeight="1" x14ac:dyDescent="0.25">
      <c r="A315" s="2">
        <v>313</v>
      </c>
      <c r="B315" s="3">
        <v>8</v>
      </c>
      <c r="C315" s="2">
        <v>1</v>
      </c>
      <c r="D315" s="9">
        <v>77</v>
      </c>
      <c r="E315" s="3" t="s">
        <v>53</v>
      </c>
      <c r="F315" s="3">
        <f t="shared" si="41"/>
        <v>1</v>
      </c>
      <c r="G315" s="11" t="s">
        <v>76</v>
      </c>
      <c r="H315" s="3" t="s">
        <v>76</v>
      </c>
      <c r="I315" s="3">
        <f t="shared" si="34"/>
        <v>2</v>
      </c>
      <c r="J315" s="3" t="s">
        <v>77</v>
      </c>
      <c r="K315" s="3">
        <v>1</v>
      </c>
      <c r="L315" s="6" t="s">
        <v>159</v>
      </c>
      <c r="M315" s="3">
        <v>-59</v>
      </c>
      <c r="N315" s="3">
        <f t="shared" si="35"/>
        <v>-0.59</v>
      </c>
      <c r="O315" s="3">
        <v>1</v>
      </c>
      <c r="P315" s="3">
        <v>0.01</v>
      </c>
      <c r="Q315" s="17">
        <v>0.5</v>
      </c>
      <c r="R315" s="21">
        <v>0</v>
      </c>
      <c r="S315" s="3">
        <v>2</v>
      </c>
      <c r="T315" s="3">
        <v>20.399999999999999</v>
      </c>
      <c r="U315" s="3">
        <v>40.57</v>
      </c>
      <c r="V315" s="26">
        <v>0.778428626649179</v>
      </c>
      <c r="W315" s="18">
        <v>-1.0411843878342599</v>
      </c>
      <c r="X315" s="18">
        <v>-0.44768692933779702</v>
      </c>
      <c r="Y315" s="18">
        <v>2.59747822045447</v>
      </c>
      <c r="Z315" s="18">
        <v>0.16423364923127901</v>
      </c>
      <c r="AA315" s="18">
        <v>-0.33439214917524002</v>
      </c>
      <c r="AB315" s="18">
        <v>1.0701782630791301</v>
      </c>
      <c r="AC315" s="18">
        <v>-0.11246210780818</v>
      </c>
      <c r="AD315" s="18">
        <v>-0.37465766307083198</v>
      </c>
      <c r="AE315" s="21">
        <v>1.4396534174359801</v>
      </c>
      <c r="AF315" s="3">
        <v>0</v>
      </c>
      <c r="AG315" s="3">
        <v>0.41117300000000001</v>
      </c>
      <c r="AH315" s="3">
        <v>0.239117</v>
      </c>
      <c r="AI315" s="3">
        <v>12.797599999999999</v>
      </c>
      <c r="AJ315" s="3">
        <v>6.6558199999999998E-2</v>
      </c>
      <c r="AK315" s="3">
        <v>0.49929499999999999</v>
      </c>
      <c r="AL315" s="3">
        <v>0</v>
      </c>
      <c r="AM315" s="3">
        <v>0</v>
      </c>
      <c r="AN315" s="3">
        <v>-0.38062499999999999</v>
      </c>
      <c r="AO315" s="3">
        <v>5.4761899999999999</v>
      </c>
      <c r="AP315" s="3">
        <v>8.7573499999999999E-2</v>
      </c>
      <c r="AQ315" s="3">
        <v>1.09738</v>
      </c>
      <c r="AR315" s="3">
        <v>4.1666699999999999</v>
      </c>
      <c r="AS315" s="3">
        <v>3.0331500000000001E-2</v>
      </c>
      <c r="AT315" s="3">
        <v>1.6896100000000001</v>
      </c>
      <c r="AU315" s="3">
        <v>0</v>
      </c>
      <c r="AV315" s="3">
        <v>0</v>
      </c>
      <c r="AW315" s="3">
        <v>-0.64287099999999997</v>
      </c>
      <c r="AX315" s="3">
        <v>0</v>
      </c>
      <c r="AY315" s="3">
        <v>0</v>
      </c>
      <c r="AZ315" s="21">
        <v>-0.56759300000000001</v>
      </c>
      <c r="BA315" s="3">
        <v>20.170000000000002</v>
      </c>
      <c r="BB315" s="3">
        <v>1</v>
      </c>
    </row>
    <row r="316" spans="1:54" s="3" customFormat="1" ht="94.5" customHeight="1" x14ac:dyDescent="0.25">
      <c r="A316" s="2">
        <v>314</v>
      </c>
      <c r="B316" s="3">
        <v>8</v>
      </c>
      <c r="C316" s="2">
        <v>1</v>
      </c>
      <c r="D316" s="9">
        <v>77</v>
      </c>
      <c r="E316" s="3" t="s">
        <v>53</v>
      </c>
      <c r="F316" s="3">
        <f t="shared" si="41"/>
        <v>1</v>
      </c>
      <c r="G316" s="11"/>
      <c r="H316" s="3" t="s">
        <v>76</v>
      </c>
      <c r="I316" s="3">
        <f t="shared" si="34"/>
        <v>2</v>
      </c>
      <c r="J316" s="3" t="s">
        <v>78</v>
      </c>
      <c r="K316" s="3">
        <v>2</v>
      </c>
      <c r="L316" s="6" t="s">
        <v>182</v>
      </c>
      <c r="M316" s="3">
        <v>-59</v>
      </c>
      <c r="N316" s="3">
        <f t="shared" si="35"/>
        <v>-0.59</v>
      </c>
      <c r="O316" s="3">
        <v>1</v>
      </c>
      <c r="P316" s="3">
        <v>0.01</v>
      </c>
      <c r="Q316" s="17">
        <v>0.27233333333333332</v>
      </c>
      <c r="R316" s="21">
        <v>0.30765063415896399</v>
      </c>
      <c r="S316" s="3">
        <v>4</v>
      </c>
      <c r="T316" s="3">
        <v>42.18</v>
      </c>
      <c r="U316" s="3">
        <v>99.81</v>
      </c>
      <c r="V316" s="26">
        <v>1.9755806612367399</v>
      </c>
      <c r="W316" s="18">
        <v>1.92658754888043</v>
      </c>
      <c r="X316" s="18">
        <v>2.23197743415392</v>
      </c>
      <c r="Y316" s="18">
        <v>0.40478401664145403</v>
      </c>
      <c r="Z316" s="18">
        <v>1.3890500574123501</v>
      </c>
      <c r="AA316" s="18">
        <v>1.3697881720348</v>
      </c>
      <c r="AB316" s="18">
        <v>0.17920593679466501</v>
      </c>
      <c r="AC316" s="18">
        <v>-7.8178047229239295E-2</v>
      </c>
      <c r="AD316" s="18">
        <v>0.66599192005171004</v>
      </c>
      <c r="AE316" s="21">
        <v>-0.73633566342672896</v>
      </c>
      <c r="AF316" s="3">
        <v>0</v>
      </c>
      <c r="AG316" s="3">
        <v>0.25911299999999998</v>
      </c>
      <c r="AH316" s="3">
        <v>-0.28178599999999998</v>
      </c>
      <c r="AI316" s="3">
        <v>18.0562</v>
      </c>
      <c r="AJ316" s="3">
        <v>0.25671699999999997</v>
      </c>
      <c r="AK316" s="3">
        <v>1.04522</v>
      </c>
      <c r="AL316" s="3">
        <v>0</v>
      </c>
      <c r="AM316" s="3">
        <v>0.15613199999999999</v>
      </c>
      <c r="AN316" s="3">
        <v>-0.113459</v>
      </c>
      <c r="AO316" s="3">
        <v>3.85283</v>
      </c>
      <c r="AP316" s="3">
        <v>9.67528E-2</v>
      </c>
      <c r="AQ316" s="3">
        <v>1.1110800000000001</v>
      </c>
      <c r="AR316" s="3">
        <v>2.9781300000000002</v>
      </c>
      <c r="AS316" s="3">
        <v>4.0584000000000002E-2</v>
      </c>
      <c r="AT316" s="3">
        <v>1.6071299999999999</v>
      </c>
      <c r="AU316" s="3">
        <v>0</v>
      </c>
      <c r="AV316" s="3">
        <v>0.18024399999999999</v>
      </c>
      <c r="AW316" s="3">
        <v>0.36966399999999999</v>
      </c>
      <c r="AX316" s="3">
        <v>0</v>
      </c>
      <c r="AY316" s="3">
        <v>7.6696500000000001E-3</v>
      </c>
      <c r="AZ316" s="21">
        <v>-0.561473</v>
      </c>
      <c r="BA316" s="3">
        <v>57.63</v>
      </c>
      <c r="BB316" s="3">
        <v>2</v>
      </c>
    </row>
    <row r="317" spans="1:54" s="3" customFormat="1" ht="47.25" customHeight="1" x14ac:dyDescent="0.25">
      <c r="A317" s="2">
        <v>315</v>
      </c>
      <c r="B317" s="3">
        <v>8</v>
      </c>
      <c r="C317" s="2">
        <v>1</v>
      </c>
      <c r="D317" s="9">
        <v>77</v>
      </c>
      <c r="E317" s="3" t="s">
        <v>53</v>
      </c>
      <c r="F317" s="3">
        <f t="shared" si="41"/>
        <v>1</v>
      </c>
      <c r="G317" s="11"/>
      <c r="H317" s="3" t="s">
        <v>76</v>
      </c>
      <c r="I317" s="3">
        <f t="shared" si="34"/>
        <v>2</v>
      </c>
      <c r="J317" s="3" t="s">
        <v>79</v>
      </c>
      <c r="K317" s="3">
        <v>3</v>
      </c>
      <c r="L317" s="6" t="s">
        <v>150</v>
      </c>
      <c r="M317" s="3">
        <v>-59</v>
      </c>
      <c r="N317" s="3">
        <f t="shared" si="35"/>
        <v>-0.59</v>
      </c>
      <c r="O317" s="3">
        <v>1</v>
      </c>
      <c r="P317" s="3">
        <v>0.01</v>
      </c>
      <c r="Q317" s="17">
        <v>0.32291666666666657</v>
      </c>
      <c r="R317" s="21">
        <v>0.27989643421967503</v>
      </c>
      <c r="S317" s="3">
        <v>6</v>
      </c>
      <c r="T317" s="3">
        <v>103.5</v>
      </c>
      <c r="U317" s="3">
        <v>116.73</v>
      </c>
      <c r="V317" s="26">
        <v>1.44683835675537</v>
      </c>
      <c r="W317" s="18">
        <v>1.63043842185871</v>
      </c>
      <c r="X317" s="18">
        <v>1.7883892926376701</v>
      </c>
      <c r="Y317" s="18">
        <v>-1.50630046788227E-3</v>
      </c>
      <c r="Z317" s="18">
        <v>2.23318335318787</v>
      </c>
      <c r="AA317" s="18">
        <v>1.74188085517</v>
      </c>
      <c r="AB317" s="18">
        <v>0.58515547713710103</v>
      </c>
      <c r="AC317" s="18">
        <v>-0.45085848352248897</v>
      </c>
      <c r="AD317" s="18">
        <v>-1.5973421740679199</v>
      </c>
      <c r="AE317" s="21">
        <v>-6.4221647987844396E-2</v>
      </c>
      <c r="AF317" s="3">
        <v>0</v>
      </c>
      <c r="AG317" s="3">
        <v>7.4152999999999997E-2</v>
      </c>
      <c r="AH317" s="3">
        <v>-0.57566499999999998</v>
      </c>
      <c r="AI317" s="3">
        <v>22.636399999999998</v>
      </c>
      <c r="AJ317" s="3">
        <v>0.13605100000000001</v>
      </c>
      <c r="AK317" s="3">
        <v>0.99935399999999996</v>
      </c>
      <c r="AL317" s="3">
        <v>0</v>
      </c>
      <c r="AM317" s="3">
        <v>0</v>
      </c>
      <c r="AN317" s="3">
        <v>-0.38062499999999999</v>
      </c>
      <c r="AO317" s="3">
        <v>6.2727300000000001</v>
      </c>
      <c r="AP317" s="3">
        <v>0.11441800000000001</v>
      </c>
      <c r="AQ317" s="3">
        <v>1.4050499999999999</v>
      </c>
      <c r="AR317" s="3">
        <v>4.1818200000000001</v>
      </c>
      <c r="AS317" s="3">
        <v>6.3471E-2</v>
      </c>
      <c r="AT317" s="3">
        <v>1.64462</v>
      </c>
      <c r="AU317" s="3">
        <v>0</v>
      </c>
      <c r="AV317" s="3">
        <v>0</v>
      </c>
      <c r="AW317" s="3">
        <v>-0.64287099999999997</v>
      </c>
      <c r="AX317" s="3">
        <v>0</v>
      </c>
      <c r="AY317" s="3">
        <v>4.1661900000000002E-2</v>
      </c>
      <c r="AZ317" s="21">
        <v>-0.52628399999999997</v>
      </c>
      <c r="BA317" s="3">
        <v>13.228</v>
      </c>
      <c r="BB317" s="3">
        <v>3</v>
      </c>
    </row>
    <row r="318" spans="1:54" s="3" customFormat="1" ht="204.75" customHeight="1" x14ac:dyDescent="0.25">
      <c r="A318" s="2">
        <v>316</v>
      </c>
      <c r="B318" s="3">
        <v>8</v>
      </c>
      <c r="C318" s="2">
        <v>1</v>
      </c>
      <c r="D318" s="9">
        <v>77</v>
      </c>
      <c r="E318" s="3" t="s">
        <v>53</v>
      </c>
      <c r="F318" s="3">
        <f t="shared" si="41"/>
        <v>1</v>
      </c>
      <c r="G318" s="11"/>
      <c r="H318" s="3" t="s">
        <v>76</v>
      </c>
      <c r="I318" s="3">
        <f t="shared" si="34"/>
        <v>2</v>
      </c>
      <c r="J318" s="3" t="s">
        <v>80</v>
      </c>
      <c r="K318" s="3">
        <v>4</v>
      </c>
      <c r="L318" s="6" t="s">
        <v>247</v>
      </c>
      <c r="M318" s="3">
        <v>-59</v>
      </c>
      <c r="N318" s="3">
        <f t="shared" si="35"/>
        <v>-0.59</v>
      </c>
      <c r="O318" s="3">
        <v>1</v>
      </c>
      <c r="P318" s="3">
        <v>0.01</v>
      </c>
      <c r="Q318" s="17">
        <v>0.24054166666666671</v>
      </c>
      <c r="R318" s="21">
        <v>0.414618322600042</v>
      </c>
      <c r="S318" s="3">
        <v>8</v>
      </c>
      <c r="T318" s="3">
        <v>136.85</v>
      </c>
      <c r="U318" s="3">
        <v>250.14</v>
      </c>
      <c r="V318" s="26">
        <v>-0.33889207372561603</v>
      </c>
      <c r="W318" s="18">
        <v>0.10860676007917699</v>
      </c>
      <c r="X318" s="18">
        <v>-0.42359385052383203</v>
      </c>
      <c r="Y318" s="18">
        <v>-0.349256303939117</v>
      </c>
      <c r="Z318" s="18">
        <v>0.73838053245075197</v>
      </c>
      <c r="AA318" s="18">
        <v>0.78970005495366202</v>
      </c>
      <c r="AB318" s="18">
        <v>0.76619592120579605</v>
      </c>
      <c r="AC318" s="18">
        <v>-0.16579286870874599</v>
      </c>
      <c r="AD318" s="18">
        <v>-0.23705384691793899</v>
      </c>
      <c r="AE318" s="21">
        <v>-0.94547327868205799</v>
      </c>
      <c r="AF318" s="3">
        <v>1.05951</v>
      </c>
      <c r="AG318" s="3">
        <v>0.199326</v>
      </c>
      <c r="AH318" s="3">
        <v>4.1778399999999998</v>
      </c>
      <c r="AI318" s="3">
        <v>18.1706</v>
      </c>
      <c r="AJ318" s="3">
        <v>0.172792</v>
      </c>
      <c r="AK318" s="3">
        <v>1.2235199999999999</v>
      </c>
      <c r="AL318" s="3">
        <v>0.38142300000000001</v>
      </c>
      <c r="AM318" s="3">
        <v>0.205508</v>
      </c>
      <c r="AN318" s="3">
        <v>7.8757400000000004</v>
      </c>
      <c r="AO318" s="3">
        <v>5.7531299999999996</v>
      </c>
      <c r="AP318" s="3">
        <v>0.20560500000000001</v>
      </c>
      <c r="AQ318" s="3">
        <v>1.4214599999999999</v>
      </c>
      <c r="AR318" s="3">
        <v>2.9242499999999998</v>
      </c>
      <c r="AS318" s="3">
        <v>9.1419600000000004E-2</v>
      </c>
      <c r="AT318" s="3">
        <v>2.07118</v>
      </c>
      <c r="AU318" s="3">
        <v>0.52975499999999998</v>
      </c>
      <c r="AV318" s="3">
        <v>9.1634400000000005E-2</v>
      </c>
      <c r="AW318" s="3">
        <v>3.8995799999999998</v>
      </c>
      <c r="AX318" s="3">
        <v>0.97474799999999995</v>
      </c>
      <c r="AY318" s="3">
        <v>0.458341</v>
      </c>
      <c r="AZ318" s="21">
        <v>4.0939399999999999</v>
      </c>
      <c r="BA318" s="3">
        <v>113.289</v>
      </c>
      <c r="BB318" s="3">
        <v>4</v>
      </c>
    </row>
    <row r="319" spans="1:54" s="3" customFormat="1" ht="141.75" customHeight="1" x14ac:dyDescent="0.25">
      <c r="A319" s="2">
        <v>317</v>
      </c>
      <c r="B319" s="3">
        <v>8</v>
      </c>
      <c r="C319" s="2">
        <v>1</v>
      </c>
      <c r="D319" s="9">
        <v>77</v>
      </c>
      <c r="E319" s="3" t="s">
        <v>53</v>
      </c>
      <c r="F319" s="3">
        <f t="shared" si="41"/>
        <v>1</v>
      </c>
      <c r="G319" s="11"/>
      <c r="H319" s="3" t="s">
        <v>76</v>
      </c>
      <c r="I319" s="3">
        <f t="shared" si="34"/>
        <v>2</v>
      </c>
      <c r="J319" s="3" t="s">
        <v>81</v>
      </c>
      <c r="K319" s="3">
        <v>5</v>
      </c>
      <c r="L319" s="6" t="s">
        <v>248</v>
      </c>
      <c r="M319" s="3">
        <v>-59</v>
      </c>
      <c r="N319" s="3">
        <f t="shared" si="35"/>
        <v>-0.59</v>
      </c>
      <c r="O319" s="3">
        <v>1</v>
      </c>
      <c r="P319" s="3">
        <v>0.01</v>
      </c>
      <c r="Q319" s="17">
        <v>1.0073260073260341E-3</v>
      </c>
      <c r="R319" s="21">
        <v>0.47704235462390798</v>
      </c>
      <c r="S319" s="3">
        <v>10</v>
      </c>
      <c r="T319" s="3">
        <v>264.64999999999998</v>
      </c>
      <c r="U319" s="3">
        <v>362.93</v>
      </c>
      <c r="V319" s="26">
        <v>-3.8701566982248303E-2</v>
      </c>
      <c r="W319" s="18">
        <v>0.42938133365970999</v>
      </c>
      <c r="X319" s="18">
        <v>-0.56241734366221996</v>
      </c>
      <c r="Y319" s="18">
        <v>-0.70501708717135403</v>
      </c>
      <c r="Z319" s="18">
        <v>0.50427120415362903</v>
      </c>
      <c r="AA319" s="18">
        <v>0.43816728113487302</v>
      </c>
      <c r="AB319" s="18">
        <v>9.4457184316044995E-2</v>
      </c>
      <c r="AC319" s="18">
        <v>1.16874593382687</v>
      </c>
      <c r="AD319" s="18">
        <v>1.0552615108071199</v>
      </c>
      <c r="AE319" s="21">
        <v>-0.99336738904587396</v>
      </c>
      <c r="AF319" s="3">
        <v>7.3275000000000007E-2</v>
      </c>
      <c r="AG319" s="3">
        <v>7.9603199999999999E-2</v>
      </c>
      <c r="AH319" s="3">
        <v>3.698</v>
      </c>
      <c r="AI319" s="3">
        <v>18.221</v>
      </c>
      <c r="AJ319" s="3">
        <v>0.396837</v>
      </c>
      <c r="AK319" s="3">
        <v>1.8382799999999999</v>
      </c>
      <c r="AL319" s="3">
        <v>0</v>
      </c>
      <c r="AM319" s="3">
        <v>0</v>
      </c>
      <c r="AN319" s="3">
        <v>-0.38062499999999999</v>
      </c>
      <c r="AO319" s="3">
        <v>6.0329699999999997</v>
      </c>
      <c r="AP319" s="3">
        <v>0.100731</v>
      </c>
      <c r="AQ319" s="3">
        <v>1.1328</v>
      </c>
      <c r="AR319" s="3">
        <v>1.6364700000000001</v>
      </c>
      <c r="AS319" s="3">
        <v>5.5016200000000001E-2</v>
      </c>
      <c r="AT319" s="3">
        <v>1.6755500000000001</v>
      </c>
      <c r="AU319" s="3">
        <v>0</v>
      </c>
      <c r="AV319" s="3">
        <v>6.3919599999999993E-2</v>
      </c>
      <c r="AW319" s="3">
        <v>8.3413100000000004E-2</v>
      </c>
      <c r="AX319" s="3">
        <v>2.5157699999999998</v>
      </c>
      <c r="AY319" s="3">
        <v>0.22008</v>
      </c>
      <c r="AZ319" s="21">
        <v>3.2573500000000002</v>
      </c>
      <c r="BA319" s="3">
        <v>98.28</v>
      </c>
      <c r="BB319" s="3">
        <v>5</v>
      </c>
    </row>
    <row r="320" spans="1:54" s="3" customFormat="1" ht="299.25" customHeight="1" x14ac:dyDescent="0.25">
      <c r="A320" s="2">
        <v>318</v>
      </c>
      <c r="B320" s="3">
        <v>8</v>
      </c>
      <c r="C320" s="2">
        <v>1</v>
      </c>
      <c r="D320" s="9">
        <v>77</v>
      </c>
      <c r="E320" s="3" t="s">
        <v>53</v>
      </c>
      <c r="F320" s="3">
        <f t="shared" si="41"/>
        <v>1</v>
      </c>
      <c r="G320" s="11" t="s">
        <v>84</v>
      </c>
      <c r="H320" s="3" t="s">
        <v>84</v>
      </c>
      <c r="I320" s="3">
        <f t="shared" si="34"/>
        <v>3</v>
      </c>
      <c r="J320" s="3" t="s">
        <v>85</v>
      </c>
      <c r="K320" s="3">
        <v>1</v>
      </c>
      <c r="L320" s="6" t="s">
        <v>249</v>
      </c>
      <c r="M320" s="3">
        <v>-85</v>
      </c>
      <c r="N320" s="3">
        <f t="shared" si="35"/>
        <v>-0.85</v>
      </c>
      <c r="O320" s="3">
        <v>1</v>
      </c>
      <c r="P320" s="3">
        <v>0.01</v>
      </c>
      <c r="Q320" s="17">
        <v>0.12855452674897119</v>
      </c>
      <c r="R320" s="21">
        <v>0.35127937438061341</v>
      </c>
      <c r="S320" s="3">
        <v>2</v>
      </c>
      <c r="T320" s="3">
        <v>18.98</v>
      </c>
      <c r="U320" s="3">
        <v>314.75</v>
      </c>
      <c r="V320" s="26">
        <v>-0.92376695411432397</v>
      </c>
      <c r="W320" s="18">
        <v>-0.766174937465256</v>
      </c>
      <c r="X320" s="18">
        <v>-0.49294609849736898</v>
      </c>
      <c r="Y320" s="18">
        <v>-1.00518168949817</v>
      </c>
      <c r="Z320" s="18">
        <v>-0.59599722481214701</v>
      </c>
      <c r="AA320" s="18">
        <v>-0.46098145569267601</v>
      </c>
      <c r="AB320" s="18">
        <v>-3.6470453264369902</v>
      </c>
      <c r="AC320" s="18">
        <v>1.43730440836187</v>
      </c>
      <c r="AD320" s="18">
        <v>2.5773586627344902</v>
      </c>
      <c r="AE320" s="21">
        <v>-1.4914661368295601</v>
      </c>
      <c r="AF320" s="3">
        <v>6.4917500000000003E-2</v>
      </c>
      <c r="AG320" s="3">
        <v>0.41023399999999999</v>
      </c>
      <c r="AH320" s="3">
        <v>9.5701300000000007</v>
      </c>
      <c r="AI320" s="3">
        <v>14.9635</v>
      </c>
      <c r="AJ320" s="3">
        <v>0.32012299999999999</v>
      </c>
      <c r="AK320" s="3">
        <v>1.6474</v>
      </c>
      <c r="AL320" s="3">
        <v>0.438193</v>
      </c>
      <c r="AM320" s="3">
        <v>0.334671</v>
      </c>
      <c r="AN320" s="3">
        <v>6.5854100000000004</v>
      </c>
      <c r="AO320" s="3">
        <v>4.7552099999999999</v>
      </c>
      <c r="AP320" s="3">
        <v>9.5991099999999996E-2</v>
      </c>
      <c r="AQ320" s="3">
        <v>1.0138400000000001</v>
      </c>
      <c r="AR320" s="3">
        <v>2.05707</v>
      </c>
      <c r="AS320" s="3">
        <v>3.5670300000000002E-2</v>
      </c>
      <c r="AT320" s="3">
        <v>1.4827900000000001</v>
      </c>
      <c r="AU320" s="3">
        <v>2.84014E-2</v>
      </c>
      <c r="AV320" s="3">
        <v>0.161083</v>
      </c>
      <c r="AW320" s="3">
        <v>3.5948500000000001</v>
      </c>
      <c r="AX320" s="3">
        <v>0.59237200000000001</v>
      </c>
      <c r="AY320" s="3">
        <v>0.758853</v>
      </c>
      <c r="AZ320" s="21">
        <v>5.9901600000000004</v>
      </c>
      <c r="BA320" s="3">
        <v>295.77</v>
      </c>
      <c r="BB320" s="3">
        <v>1</v>
      </c>
    </row>
    <row r="321" spans="1:54" s="3" customFormat="1" ht="110.25" customHeight="1" x14ac:dyDescent="0.25">
      <c r="A321" s="2">
        <v>319</v>
      </c>
      <c r="B321" s="3">
        <v>8</v>
      </c>
      <c r="C321" s="2">
        <v>1</v>
      </c>
      <c r="D321" s="9">
        <v>77</v>
      </c>
      <c r="E321" s="3" t="s">
        <v>53</v>
      </c>
      <c r="F321" s="3">
        <f>IF(E322="Happy", 1,2)</f>
        <v>2</v>
      </c>
      <c r="G321" s="11"/>
      <c r="H321" s="3" t="s">
        <v>84</v>
      </c>
      <c r="I321" s="3">
        <f t="shared" si="34"/>
        <v>3</v>
      </c>
      <c r="J321" s="3" t="s">
        <v>86</v>
      </c>
      <c r="K321" s="3">
        <v>2</v>
      </c>
      <c r="L321" s="6" t="s">
        <v>225</v>
      </c>
      <c r="M321" s="3">
        <v>-85</v>
      </c>
      <c r="N321" s="3">
        <f t="shared" si="35"/>
        <v>-0.85</v>
      </c>
      <c r="O321" s="3">
        <v>1</v>
      </c>
      <c r="P321" s="3">
        <v>0.01</v>
      </c>
      <c r="Q321" s="17">
        <v>-3.2619047619047617E-2</v>
      </c>
      <c r="R321" s="21">
        <v>0.35936396635926132</v>
      </c>
      <c r="S321" s="3">
        <v>3</v>
      </c>
      <c r="T321" s="3">
        <v>314.75</v>
      </c>
      <c r="U321" s="3">
        <v>380.97</v>
      </c>
      <c r="V321" s="26">
        <v>-1.0548302528089999</v>
      </c>
      <c r="W321" s="18">
        <v>-0.98725963206477496</v>
      </c>
      <c r="X321" s="18">
        <v>-0.56046116681220703</v>
      </c>
      <c r="Y321" s="18">
        <v>-2.0524713238939198</v>
      </c>
      <c r="Z321" s="18">
        <v>-0.533552932589345</v>
      </c>
      <c r="AA321" s="18">
        <v>-0.74538195804419405</v>
      </c>
      <c r="AB321" s="18">
        <v>0.178767250272615</v>
      </c>
      <c r="AC321" s="18">
        <v>-0.41657442294355401</v>
      </c>
      <c r="AD321" s="18">
        <v>0.55259311252330201</v>
      </c>
      <c r="AE321" s="21">
        <v>-0.55274157369876697</v>
      </c>
      <c r="AF321" s="3">
        <v>0</v>
      </c>
      <c r="AG321" s="3">
        <v>0.22412000000000001</v>
      </c>
      <c r="AH321" s="3">
        <v>-0.36446099999999998</v>
      </c>
      <c r="AI321" s="3">
        <v>24.6526</v>
      </c>
      <c r="AJ321" s="3">
        <v>0.10646899999999999</v>
      </c>
      <c r="AK321" s="3">
        <v>0.90737500000000004</v>
      </c>
      <c r="AL321" s="3">
        <v>0.45317200000000002</v>
      </c>
      <c r="AM321" s="3">
        <v>4.12311E-2</v>
      </c>
      <c r="AN321" s="3">
        <v>4.4713200000000004</v>
      </c>
      <c r="AO321" s="3">
        <v>8.4652600000000007</v>
      </c>
      <c r="AP321" s="3">
        <v>0.103391</v>
      </c>
      <c r="AQ321" s="3">
        <v>0.88247299999999995</v>
      </c>
      <c r="AR321" s="3">
        <v>1.97583</v>
      </c>
      <c r="AS321" s="3">
        <v>4.84768E-2</v>
      </c>
      <c r="AT321" s="3">
        <v>1.5709900000000001</v>
      </c>
      <c r="AU321" s="3">
        <v>1.8126899999999999</v>
      </c>
      <c r="AV321" s="3">
        <v>0.27868999999999999</v>
      </c>
      <c r="AW321" s="3">
        <v>4.4852800000000004</v>
      </c>
      <c r="AX321" s="3">
        <v>0.21752299999999999</v>
      </c>
      <c r="AY321" s="3">
        <v>0.24615100000000001</v>
      </c>
      <c r="AZ321" s="21">
        <v>4.2331000000000003</v>
      </c>
      <c r="BA321" s="3">
        <v>66.22</v>
      </c>
      <c r="BB321" s="3">
        <v>2</v>
      </c>
    </row>
    <row r="322" spans="1:54" s="3" customFormat="1" ht="110.25" customHeight="1" x14ac:dyDescent="0.25">
      <c r="A322" s="2">
        <v>320</v>
      </c>
      <c r="B322" s="3">
        <v>8</v>
      </c>
      <c r="C322" s="2">
        <v>1</v>
      </c>
      <c r="D322" s="9">
        <v>77</v>
      </c>
      <c r="E322" s="3" t="s">
        <v>53</v>
      </c>
      <c r="F322" s="3">
        <f>IF(E323="Happy", 1,2)</f>
        <v>1</v>
      </c>
      <c r="G322" s="11"/>
      <c r="H322" s="3" t="s">
        <v>84</v>
      </c>
      <c r="I322" s="3">
        <f t="shared" si="34"/>
        <v>3</v>
      </c>
      <c r="J322" s="3" t="s">
        <v>87</v>
      </c>
      <c r="K322" s="3">
        <v>3</v>
      </c>
      <c r="L322" s="6" t="s">
        <v>189</v>
      </c>
      <c r="M322" s="3">
        <v>-85</v>
      </c>
      <c r="N322" s="3">
        <f t="shared" si="35"/>
        <v>-0.85</v>
      </c>
      <c r="O322" s="3">
        <v>1</v>
      </c>
      <c r="P322" s="3">
        <v>0.01</v>
      </c>
      <c r="Q322" s="17">
        <v>0.1165833333333333</v>
      </c>
      <c r="R322" s="21">
        <v>0.44859631038535969</v>
      </c>
      <c r="S322" s="3">
        <v>5</v>
      </c>
      <c r="T322" s="3">
        <v>394.92</v>
      </c>
      <c r="U322" s="3">
        <v>456.53</v>
      </c>
      <c r="V322" s="26">
        <v>-1.30324636098138</v>
      </c>
      <c r="W322" s="18">
        <v>-1.0710280214747201</v>
      </c>
      <c r="X322" s="18">
        <v>-0.59580932529668296</v>
      </c>
      <c r="Y322" s="18">
        <v>-0.31741858950436003</v>
      </c>
      <c r="Z322" s="18">
        <v>-0.52481073167815095</v>
      </c>
      <c r="AA322" s="18">
        <v>-0.68144480761933701</v>
      </c>
      <c r="AB322" s="18">
        <v>1.7737217728175401</v>
      </c>
      <c r="AC322" s="18">
        <v>1.5471403802165999</v>
      </c>
      <c r="AD322" s="18">
        <v>0.25019629244754699</v>
      </c>
      <c r="AE322" s="21">
        <v>3.15665727397876E-2</v>
      </c>
      <c r="AF322" s="3">
        <v>0.253247</v>
      </c>
      <c r="AG322" s="3">
        <v>7.4334700000000004E-2</v>
      </c>
      <c r="AH322" s="3">
        <v>4.9438199999999997</v>
      </c>
      <c r="AI322" s="3">
        <v>24.214300000000001</v>
      </c>
      <c r="AJ322" s="3">
        <v>4.6915999999999999E-2</v>
      </c>
      <c r="AK322" s="3">
        <v>0.479022</v>
      </c>
      <c r="AL322" s="3">
        <v>0.233766</v>
      </c>
      <c r="AM322" s="3">
        <v>7.0253899999999994E-2</v>
      </c>
      <c r="AN322" s="3">
        <v>4.8550899999999997</v>
      </c>
      <c r="AO322" s="3">
        <v>19.2468</v>
      </c>
      <c r="AP322" s="3">
        <v>0.152973</v>
      </c>
      <c r="AQ322" s="3">
        <v>0.984734</v>
      </c>
      <c r="AR322" s="3">
        <v>4.2077900000000001</v>
      </c>
      <c r="AS322" s="3">
        <v>0.124325</v>
      </c>
      <c r="AT322" s="3">
        <v>2.0101100000000001</v>
      </c>
      <c r="AU322" s="3">
        <v>0</v>
      </c>
      <c r="AV322" s="3">
        <v>0</v>
      </c>
      <c r="AW322" s="3">
        <v>-0.722688</v>
      </c>
      <c r="AX322" s="3">
        <v>0</v>
      </c>
      <c r="AY322" s="3">
        <v>0</v>
      </c>
      <c r="AZ322" s="21">
        <v>-0.55141399999999996</v>
      </c>
      <c r="BA322" s="3">
        <v>61.61</v>
      </c>
      <c r="BB322" s="3">
        <v>3</v>
      </c>
    </row>
    <row r="323" spans="1:54" s="3" customFormat="1" ht="393.75" customHeight="1" x14ac:dyDescent="0.25">
      <c r="A323" s="2">
        <v>321</v>
      </c>
      <c r="B323" s="3">
        <v>9</v>
      </c>
      <c r="C323" s="2">
        <v>1</v>
      </c>
      <c r="D323" s="9">
        <v>79</v>
      </c>
      <c r="E323" s="3" t="s">
        <v>16</v>
      </c>
      <c r="F323" s="3">
        <f t="shared" ref="F323:F330" si="42">IF(E323="Happy", 1,2)</f>
        <v>1</v>
      </c>
      <c r="G323" s="11" t="s">
        <v>17</v>
      </c>
      <c r="H323" s="3" t="s">
        <v>17</v>
      </c>
      <c r="I323" s="3">
        <f t="shared" ref="I323:I386" si="43">IF(OR(H323="HM1",H323="SM1"),1, IF(OR(H323="HM2",H323="SM2"),2,IF(OR(H323="HM3",H323="SM3"),3 )))</f>
        <v>1</v>
      </c>
      <c r="J323" s="3" t="s">
        <v>18</v>
      </c>
      <c r="K323" s="3">
        <v>1</v>
      </c>
      <c r="L323" s="6" t="s">
        <v>250</v>
      </c>
      <c r="M323" s="3">
        <v>64</v>
      </c>
      <c r="N323" s="3">
        <f t="shared" ref="N323:N386" si="44">M323/100</f>
        <v>0.64</v>
      </c>
      <c r="O323" s="3">
        <v>94</v>
      </c>
      <c r="P323" s="3">
        <v>0.94</v>
      </c>
      <c r="Q323" s="17">
        <v>0.1173472807926589</v>
      </c>
      <c r="R323" s="21">
        <v>0.19047658666204259</v>
      </c>
      <c r="S323" s="3">
        <v>2</v>
      </c>
      <c r="T323" s="3">
        <v>29.5</v>
      </c>
      <c r="U323" s="3">
        <v>209.11</v>
      </c>
      <c r="V323" s="26">
        <v>0.174365072561081</v>
      </c>
      <c r="W323" s="18">
        <v>1.0973156640289301</v>
      </c>
      <c r="X323" s="18">
        <v>0.45021165464045598</v>
      </c>
      <c r="Y323" s="18">
        <v>0.82837556148214897</v>
      </c>
      <c r="Z323" s="18">
        <v>-0.262703996714861</v>
      </c>
      <c r="AA323" s="18">
        <v>-0.20416975357800199</v>
      </c>
      <c r="AB323" s="18">
        <v>-0.119396466876519</v>
      </c>
      <c r="AC323" s="18">
        <v>0.76279728003951897</v>
      </c>
      <c r="AD323" s="18">
        <v>-0.218486135342463</v>
      </c>
      <c r="AE323" s="21">
        <v>-1.43489730298283</v>
      </c>
      <c r="AF323" s="3">
        <v>0.89532299999999998</v>
      </c>
      <c r="AG323" s="3">
        <v>0.22638800000000001</v>
      </c>
      <c r="AH323" s="3">
        <v>2.7134299999999998</v>
      </c>
      <c r="AI323" s="3">
        <v>54.4878</v>
      </c>
      <c r="AJ323" s="3">
        <v>0.42454700000000001</v>
      </c>
      <c r="AK323" s="3">
        <v>0.50842200000000004</v>
      </c>
      <c r="AL323" s="3">
        <v>0</v>
      </c>
      <c r="AM323" s="3">
        <v>0</v>
      </c>
      <c r="AN323" s="3">
        <v>-0.38415700000000003</v>
      </c>
      <c r="AO323" s="3">
        <v>9.5211600000000001</v>
      </c>
      <c r="AP323" s="3">
        <v>0.10106999999999999</v>
      </c>
      <c r="AQ323" s="3">
        <v>0.83942600000000001</v>
      </c>
      <c r="AR323" s="3">
        <v>0.82850800000000002</v>
      </c>
      <c r="AS323" s="3">
        <v>6.3652700000000006E-2</v>
      </c>
      <c r="AT323" s="3">
        <v>2.5970200000000001</v>
      </c>
      <c r="AU323" s="3">
        <v>1.06904</v>
      </c>
      <c r="AV323" s="3">
        <v>0.466003</v>
      </c>
      <c r="AW323" s="3">
        <v>3.1991700000000001</v>
      </c>
      <c r="AX323" s="3">
        <v>1.1558999999999999</v>
      </c>
      <c r="AY323" s="3">
        <v>1.0988899999999999</v>
      </c>
      <c r="AZ323" s="21">
        <v>4.7772699999999997</v>
      </c>
      <c r="BA323" s="3">
        <v>179.61099999999999</v>
      </c>
      <c r="BB323" s="3">
        <v>1</v>
      </c>
    </row>
    <row r="324" spans="1:54" s="3" customFormat="1" ht="283.5" customHeight="1" x14ac:dyDescent="0.25">
      <c r="A324" s="2">
        <v>322</v>
      </c>
      <c r="B324" s="3">
        <v>9</v>
      </c>
      <c r="C324" s="2">
        <v>1</v>
      </c>
      <c r="D324" s="9">
        <v>79</v>
      </c>
      <c r="E324" s="3" t="s">
        <v>16</v>
      </c>
      <c r="F324" s="3">
        <f t="shared" si="42"/>
        <v>1</v>
      </c>
      <c r="G324" s="11"/>
      <c r="H324" s="3" t="s">
        <v>17</v>
      </c>
      <c r="I324" s="3">
        <f t="shared" si="43"/>
        <v>1</v>
      </c>
      <c r="J324" s="3" t="s">
        <v>19</v>
      </c>
      <c r="K324" s="3">
        <v>2</v>
      </c>
      <c r="L324" s="6" t="s">
        <v>251</v>
      </c>
      <c r="M324" s="3">
        <v>64</v>
      </c>
      <c r="N324" s="3">
        <f t="shared" si="44"/>
        <v>0.64</v>
      </c>
      <c r="O324" s="3">
        <v>94</v>
      </c>
      <c r="P324" s="3">
        <v>0.94</v>
      </c>
      <c r="Q324" s="17">
        <v>2.4194324194324199E-2</v>
      </c>
      <c r="R324" s="21">
        <v>0.19108121609648421</v>
      </c>
      <c r="S324" s="3">
        <v>3</v>
      </c>
      <c r="T324" s="3">
        <v>209.11</v>
      </c>
      <c r="U324" s="3">
        <v>324.97000000000003</v>
      </c>
      <c r="V324" s="26">
        <v>0.36761596572607103</v>
      </c>
      <c r="W324" s="18">
        <v>-0.21439016952821099</v>
      </c>
      <c r="X324" s="18">
        <v>0.56262100348758004</v>
      </c>
      <c r="Y324" s="18">
        <v>4.5164840537004099E-2</v>
      </c>
      <c r="Z324" s="18">
        <v>-1.3470656403088299</v>
      </c>
      <c r="AA324" s="18">
        <v>-1.233335572591</v>
      </c>
      <c r="AB324" s="18">
        <v>-0.93164196064872695</v>
      </c>
      <c r="AC324" s="18">
        <v>1.6098257432152601</v>
      </c>
      <c r="AD324" s="18">
        <v>-0.58382604985169695</v>
      </c>
      <c r="AE324" s="21">
        <v>-1.01670558956126</v>
      </c>
      <c r="AF324" s="3">
        <v>0.29005500000000001</v>
      </c>
      <c r="AG324" s="3">
        <v>0.1394</v>
      </c>
      <c r="AH324" s="3">
        <v>2.5750799999999998</v>
      </c>
      <c r="AI324" s="3">
        <v>44.616700000000002</v>
      </c>
      <c r="AJ324" s="3">
        <v>0.27356200000000003</v>
      </c>
      <c r="AK324" s="3">
        <v>0.11958000000000001</v>
      </c>
      <c r="AL324" s="3">
        <v>0</v>
      </c>
      <c r="AM324" s="3">
        <v>0</v>
      </c>
      <c r="AN324" s="3">
        <v>-0.38415700000000003</v>
      </c>
      <c r="AO324" s="3">
        <v>15.8391</v>
      </c>
      <c r="AP324" s="3">
        <v>0.43507499999999999</v>
      </c>
      <c r="AQ324" s="3">
        <v>2.05667</v>
      </c>
      <c r="AR324" s="3">
        <v>0</v>
      </c>
      <c r="AS324" s="3">
        <v>0.27965800000000002</v>
      </c>
      <c r="AT324" s="3">
        <v>0.46825600000000001</v>
      </c>
      <c r="AU324" s="3">
        <v>1.2638100000000001</v>
      </c>
      <c r="AV324" s="3">
        <v>0.13794400000000001</v>
      </c>
      <c r="AW324" s="3">
        <v>1.9413400000000001</v>
      </c>
      <c r="AX324" s="3">
        <v>0.196823</v>
      </c>
      <c r="AY324" s="3">
        <v>0.454434</v>
      </c>
      <c r="AZ324" s="21">
        <v>2.7280500000000001</v>
      </c>
      <c r="BA324" s="3">
        <v>115.85899999999999</v>
      </c>
      <c r="BB324" s="3">
        <v>2</v>
      </c>
    </row>
    <row r="325" spans="1:54" s="3" customFormat="1" ht="236.25" customHeight="1" x14ac:dyDescent="0.25">
      <c r="A325" s="2">
        <v>323</v>
      </c>
      <c r="B325" s="3">
        <v>9</v>
      </c>
      <c r="C325" s="2">
        <v>1</v>
      </c>
      <c r="D325" s="9">
        <v>79</v>
      </c>
      <c r="E325" s="3" t="s">
        <v>16</v>
      </c>
      <c r="F325" s="3">
        <f t="shared" si="42"/>
        <v>1</v>
      </c>
      <c r="G325" s="11"/>
      <c r="H325" s="3" t="s">
        <v>17</v>
      </c>
      <c r="I325" s="3">
        <f t="shared" si="43"/>
        <v>1</v>
      </c>
      <c r="J325" s="3" t="s">
        <v>20</v>
      </c>
      <c r="K325" s="3">
        <v>3</v>
      </c>
      <c r="L325" s="6" t="s">
        <v>221</v>
      </c>
      <c r="M325" s="3">
        <v>64</v>
      </c>
      <c r="N325" s="3">
        <f t="shared" si="44"/>
        <v>0.64</v>
      </c>
      <c r="O325" s="3">
        <v>94</v>
      </c>
      <c r="P325" s="3">
        <v>0.94</v>
      </c>
      <c r="Q325" s="17">
        <v>0.1387326388888889</v>
      </c>
      <c r="R325" s="21">
        <v>0.25922048959354232</v>
      </c>
      <c r="S325" s="3">
        <v>5</v>
      </c>
      <c r="T325" s="3">
        <v>327.39999999999998</v>
      </c>
      <c r="U325" s="3">
        <v>426.84</v>
      </c>
      <c r="V325" s="26">
        <v>0.80986933606626998</v>
      </c>
      <c r="W325" s="18">
        <v>-0.400042498666621</v>
      </c>
      <c r="X325" s="18">
        <v>0.90564320647001195</v>
      </c>
      <c r="Y325" s="18">
        <v>1.0340994231474601</v>
      </c>
      <c r="Z325" s="18">
        <v>1.2372725986036099</v>
      </c>
      <c r="AA325" s="18">
        <v>1.1117219396418501</v>
      </c>
      <c r="AB325" s="18">
        <v>-0.67720005873632905</v>
      </c>
      <c r="AC325" s="18">
        <v>0.96276281629968596</v>
      </c>
      <c r="AD325" s="18">
        <v>-0.52795850036696701</v>
      </c>
      <c r="AE325" s="21">
        <v>1.05321188504737</v>
      </c>
      <c r="AF325" s="3">
        <v>6.2160500000000001</v>
      </c>
      <c r="AG325" s="3">
        <v>5.6006E-2</v>
      </c>
      <c r="AH325" s="3">
        <v>2.1815799999999999</v>
      </c>
      <c r="AI325" s="3">
        <v>54.170200000000001</v>
      </c>
      <c r="AJ325" s="3">
        <v>8.3569199999999996E-2</v>
      </c>
      <c r="AK325" s="3">
        <v>-0.26946799999999999</v>
      </c>
      <c r="AL325" s="3">
        <v>0</v>
      </c>
      <c r="AM325" s="3">
        <v>9.5832200000000006E-2</v>
      </c>
      <c r="AN325" s="3">
        <v>-0.12473099999999999</v>
      </c>
      <c r="AO325" s="3">
        <v>9.7404899999999994</v>
      </c>
      <c r="AP325" s="3">
        <v>5.7318899999999999E-2</v>
      </c>
      <c r="AQ325" s="3">
        <v>0.61747799999999997</v>
      </c>
      <c r="AR325" s="3">
        <v>3.19855</v>
      </c>
      <c r="AS325" s="3">
        <v>7.8168899999999999E-2</v>
      </c>
      <c r="AT325" s="3">
        <v>2.5400399999999999</v>
      </c>
      <c r="AU325" s="3">
        <v>3.0175000000000001</v>
      </c>
      <c r="AV325" s="3">
        <v>0.119711</v>
      </c>
      <c r="AW325" s="3">
        <v>1.9670399999999999</v>
      </c>
      <c r="AX325" s="3">
        <v>6.3367500000000003</v>
      </c>
      <c r="AY325" s="3">
        <v>0.78131799999999996</v>
      </c>
      <c r="AZ325" s="21">
        <v>4.5341100000000001</v>
      </c>
      <c r="BA325" s="3">
        <v>99.44</v>
      </c>
      <c r="BB325" s="3">
        <v>3</v>
      </c>
    </row>
    <row r="326" spans="1:54" s="3" customFormat="1" ht="299.25" customHeight="1" x14ac:dyDescent="0.25">
      <c r="A326" s="2">
        <v>324</v>
      </c>
      <c r="B326" s="3">
        <v>9</v>
      </c>
      <c r="C326" s="2">
        <v>1</v>
      </c>
      <c r="D326" s="9">
        <v>79</v>
      </c>
      <c r="E326" s="3" t="s">
        <v>16</v>
      </c>
      <c r="F326" s="3">
        <f t="shared" si="42"/>
        <v>1</v>
      </c>
      <c r="G326" s="11"/>
      <c r="H326" s="3" t="s">
        <v>17</v>
      </c>
      <c r="I326" s="3">
        <f t="shared" si="43"/>
        <v>1</v>
      </c>
      <c r="J326" s="3" t="s">
        <v>21</v>
      </c>
      <c r="K326" s="3">
        <v>4</v>
      </c>
      <c r="L326" s="6" t="s">
        <v>252</v>
      </c>
      <c r="M326" s="3">
        <v>64</v>
      </c>
      <c r="N326" s="3">
        <f t="shared" si="44"/>
        <v>0.64</v>
      </c>
      <c r="O326" s="3">
        <v>94</v>
      </c>
      <c r="P326" s="3">
        <v>0.94</v>
      </c>
      <c r="Q326" s="17">
        <v>0.20366071428571431</v>
      </c>
      <c r="R326" s="21">
        <v>0.4379633742251724</v>
      </c>
      <c r="S326" s="3">
        <v>7</v>
      </c>
      <c r="T326" s="3">
        <v>435.57</v>
      </c>
      <c r="U326" s="3">
        <v>608.98</v>
      </c>
      <c r="V326" s="26">
        <v>0.877924089412632</v>
      </c>
      <c r="W326" s="18">
        <v>2.8385495969394201</v>
      </c>
      <c r="X326" s="18">
        <v>1.1730428477521799</v>
      </c>
      <c r="Y326" s="18">
        <v>0.52928556089134504</v>
      </c>
      <c r="Z326" s="18">
        <v>1.12495964182758</v>
      </c>
      <c r="AA326" s="18">
        <v>0.82801261247442504</v>
      </c>
      <c r="AB326" s="18">
        <v>-0.42793442825527001</v>
      </c>
      <c r="AC326" s="18">
        <v>-0.14122381754944099</v>
      </c>
      <c r="AD326" s="18">
        <v>1.33835624363201</v>
      </c>
      <c r="AE326" s="21">
        <v>-0.47226732114450698</v>
      </c>
      <c r="AF326" s="3">
        <v>3.3637100000000002</v>
      </c>
      <c r="AG326" s="3">
        <v>0.17626700000000001</v>
      </c>
      <c r="AH326" s="3">
        <v>2.5821499999999999</v>
      </c>
      <c r="AI326" s="3">
        <v>51.313899999999997</v>
      </c>
      <c r="AJ326" s="3">
        <v>0.28093099999999999</v>
      </c>
      <c r="AK326" s="3">
        <v>0.94100200000000001</v>
      </c>
      <c r="AL326" s="3">
        <v>0</v>
      </c>
      <c r="AM326" s="3">
        <v>0</v>
      </c>
      <c r="AN326" s="3">
        <v>-0.38415700000000003</v>
      </c>
      <c r="AO326" s="3">
        <v>10.541</v>
      </c>
      <c r="AP326" s="3">
        <v>6.2202E-2</v>
      </c>
      <c r="AQ326" s="3">
        <v>0.74560300000000002</v>
      </c>
      <c r="AR326" s="3">
        <v>1.6403300000000001</v>
      </c>
      <c r="AS326" s="3">
        <v>0.102141</v>
      </c>
      <c r="AT326" s="3">
        <v>2.6713200000000001</v>
      </c>
      <c r="AU326" s="3">
        <v>2.0140699999999998</v>
      </c>
      <c r="AV326" s="3">
        <v>8.8813699999999995E-2</v>
      </c>
      <c r="AW326" s="3">
        <v>1.7561800000000001</v>
      </c>
      <c r="AX326" s="3">
        <v>3.19068</v>
      </c>
      <c r="AY326" s="3">
        <v>0.166905</v>
      </c>
      <c r="AZ326" s="21">
        <v>1.97679</v>
      </c>
      <c r="BA326" s="3">
        <v>173.41</v>
      </c>
      <c r="BB326" s="3">
        <v>4</v>
      </c>
    </row>
    <row r="327" spans="1:54" s="3" customFormat="1" ht="110.25" customHeight="1" x14ac:dyDescent="0.25">
      <c r="A327" s="2">
        <v>325</v>
      </c>
      <c r="B327" s="3">
        <v>9</v>
      </c>
      <c r="C327" s="2">
        <v>1</v>
      </c>
      <c r="D327" s="9">
        <v>79</v>
      </c>
      <c r="E327" s="3" t="s">
        <v>16</v>
      </c>
      <c r="F327" s="3">
        <f t="shared" si="42"/>
        <v>1</v>
      </c>
      <c r="G327" s="11"/>
      <c r="H327" s="3" t="s">
        <v>17</v>
      </c>
      <c r="I327" s="3">
        <f t="shared" si="43"/>
        <v>1</v>
      </c>
      <c r="J327" s="3" t="s">
        <v>22</v>
      </c>
      <c r="K327" s="3">
        <v>5</v>
      </c>
      <c r="L327" s="6" t="s">
        <v>219</v>
      </c>
      <c r="M327" s="3">
        <v>64</v>
      </c>
      <c r="N327" s="3">
        <f t="shared" si="44"/>
        <v>0.64</v>
      </c>
      <c r="O327" s="3">
        <v>94</v>
      </c>
      <c r="P327" s="3">
        <v>0.94</v>
      </c>
      <c r="Q327" s="17">
        <v>0.38928571428571429</v>
      </c>
      <c r="R327" s="21">
        <v>0.23644414732248509</v>
      </c>
      <c r="S327" s="3">
        <v>9</v>
      </c>
      <c r="T327" s="3">
        <v>621.24</v>
      </c>
      <c r="U327" s="3">
        <v>671.03</v>
      </c>
      <c r="V327" s="26">
        <v>5.86469298606613E-2</v>
      </c>
      <c r="W327" s="18">
        <v>0.35624006635056599</v>
      </c>
      <c r="X327" s="18">
        <v>-0.18071363314273001</v>
      </c>
      <c r="Y327" s="18">
        <v>0.26938628528162101</v>
      </c>
      <c r="Z327" s="18">
        <v>6.8961295693547406E-2</v>
      </c>
      <c r="AA327" s="18">
        <v>0.33391451985302201</v>
      </c>
      <c r="AB327" s="18">
        <v>0.50795153856596797</v>
      </c>
      <c r="AC327" s="18">
        <v>-1.04868412583575</v>
      </c>
      <c r="AD327" s="18">
        <v>-0.439586194818394</v>
      </c>
      <c r="AE327" s="21">
        <v>0.77967768255779402</v>
      </c>
      <c r="AF327" s="3">
        <v>0.50622699999999998</v>
      </c>
      <c r="AG327" s="3">
        <v>0.12441000000000001</v>
      </c>
      <c r="AH327" s="3">
        <v>2.49281</v>
      </c>
      <c r="AI327" s="3">
        <v>57.348300000000002</v>
      </c>
      <c r="AJ327" s="3">
        <v>0.28926200000000002</v>
      </c>
      <c r="AK327" s="3">
        <v>0.30759399999999998</v>
      </c>
      <c r="AL327" s="3">
        <v>0.53033300000000005</v>
      </c>
      <c r="AM327" s="3">
        <v>7.5955499999999995E-2</v>
      </c>
      <c r="AN327" s="3">
        <v>3.92943</v>
      </c>
      <c r="AO327" s="3">
        <v>6.9666499999999996</v>
      </c>
      <c r="AP327" s="3">
        <v>0.104034</v>
      </c>
      <c r="AQ327" s="3">
        <v>0.88528099999999998</v>
      </c>
      <c r="AR327" s="3">
        <v>2.4347099999999999</v>
      </c>
      <c r="AS327" s="3">
        <v>8.0283199999999999E-2</v>
      </c>
      <c r="AT327" s="3">
        <v>2.8941499999999998</v>
      </c>
      <c r="AU327" s="3">
        <v>3.0373600000000001</v>
      </c>
      <c r="AV327" s="3">
        <v>0.12798799999999999</v>
      </c>
      <c r="AW327" s="3">
        <v>1.91815</v>
      </c>
      <c r="AX327" s="3">
        <v>0.31337900000000002</v>
      </c>
      <c r="AY327" s="3">
        <v>4.9569599999999998E-2</v>
      </c>
      <c r="AZ327" s="21">
        <v>1.85558</v>
      </c>
      <c r="BA327" s="3">
        <v>49.792000000000002</v>
      </c>
      <c r="BB327" s="3">
        <v>5</v>
      </c>
    </row>
    <row r="328" spans="1:54" s="3" customFormat="1" ht="283.5" customHeight="1" x14ac:dyDescent="0.25">
      <c r="A328" s="2">
        <v>326</v>
      </c>
      <c r="B328" s="3">
        <v>9</v>
      </c>
      <c r="C328" s="2">
        <v>1</v>
      </c>
      <c r="D328" s="9">
        <v>79</v>
      </c>
      <c r="E328" s="3" t="s">
        <v>16</v>
      </c>
      <c r="F328" s="3">
        <f t="shared" si="42"/>
        <v>1</v>
      </c>
      <c r="G328" s="11" t="s">
        <v>26</v>
      </c>
      <c r="H328" s="3" t="s">
        <v>26</v>
      </c>
      <c r="I328" s="3">
        <f t="shared" si="43"/>
        <v>2</v>
      </c>
      <c r="J328" s="3" t="s">
        <v>27</v>
      </c>
      <c r="K328" s="3">
        <v>1</v>
      </c>
      <c r="L328" s="6" t="s">
        <v>253</v>
      </c>
      <c r="M328" s="3">
        <v>66</v>
      </c>
      <c r="N328" s="3">
        <f t="shared" si="44"/>
        <v>0.66</v>
      </c>
      <c r="O328" s="3">
        <v>64</v>
      </c>
      <c r="P328" s="3">
        <v>0.64</v>
      </c>
      <c r="Q328" s="17">
        <v>0.48842396184062847</v>
      </c>
      <c r="R328" s="21">
        <v>0.29382944522945892</v>
      </c>
      <c r="S328" s="3">
        <v>2</v>
      </c>
      <c r="T328" s="3">
        <v>31.82</v>
      </c>
      <c r="U328" s="3">
        <v>150.28</v>
      </c>
      <c r="V328" s="26">
        <v>-0.43714801073864601</v>
      </c>
      <c r="W328" s="18">
        <v>-0.48092446576846098</v>
      </c>
      <c r="X328" s="18">
        <v>-0.65447751600710902</v>
      </c>
      <c r="Y328" s="18">
        <v>0.61688835790785201</v>
      </c>
      <c r="Z328" s="18">
        <v>1.25366344889452</v>
      </c>
      <c r="AA328" s="18">
        <v>1.245650471974</v>
      </c>
      <c r="AB328" s="18">
        <v>0.45801258828022101</v>
      </c>
      <c r="AC328" s="18">
        <v>-0.22229092684410201</v>
      </c>
      <c r="AD328" s="18">
        <v>-0.59127505644966005</v>
      </c>
      <c r="AE328" s="21">
        <v>-1.5953356332892199</v>
      </c>
      <c r="AF328" s="3">
        <v>0</v>
      </c>
      <c r="AG328" s="3">
        <v>0.35014099999999998</v>
      </c>
      <c r="AH328" s="3">
        <v>-0.20055000000000001</v>
      </c>
      <c r="AI328" s="3">
        <v>42.421500000000002</v>
      </c>
      <c r="AJ328" s="3">
        <v>0.30200199999999999</v>
      </c>
      <c r="AK328" s="3">
        <v>1.12859</v>
      </c>
      <c r="AL328" s="3">
        <v>0.26342500000000002</v>
      </c>
      <c r="AM328" s="3">
        <v>7.1717000000000003E-2</v>
      </c>
      <c r="AN328" s="3">
        <v>3.8701400000000001</v>
      </c>
      <c r="AO328" s="3">
        <v>4.1742699999999999</v>
      </c>
      <c r="AP328" s="3">
        <v>0.102838</v>
      </c>
      <c r="AQ328" s="3">
        <v>0.78376000000000001</v>
      </c>
      <c r="AR328" s="3">
        <v>1.48936</v>
      </c>
      <c r="AS328" s="3">
        <v>3.4604000000000003E-2</v>
      </c>
      <c r="AT328" s="3">
        <v>1.98271</v>
      </c>
      <c r="AU328" s="3">
        <v>6.2512699999999999</v>
      </c>
      <c r="AV328" s="3">
        <v>0.17419799999999999</v>
      </c>
      <c r="AW328" s="3">
        <v>1.9461900000000001</v>
      </c>
      <c r="AX328" s="3">
        <v>3.1914899999999999</v>
      </c>
      <c r="AY328" s="3">
        <v>0.18382100000000001</v>
      </c>
      <c r="AZ328" s="21">
        <v>2.64899</v>
      </c>
      <c r="BA328" s="3">
        <v>118.46</v>
      </c>
      <c r="BB328" s="3">
        <v>1</v>
      </c>
    </row>
    <row r="329" spans="1:54" s="3" customFormat="1" ht="157.5" customHeight="1" x14ac:dyDescent="0.25">
      <c r="A329" s="2">
        <v>327</v>
      </c>
      <c r="B329" s="3">
        <v>9</v>
      </c>
      <c r="C329" s="2">
        <v>1</v>
      </c>
      <c r="D329" s="9">
        <v>79</v>
      </c>
      <c r="E329" s="3" t="s">
        <v>16</v>
      </c>
      <c r="F329" s="3">
        <f t="shared" si="42"/>
        <v>1</v>
      </c>
      <c r="G329" s="11"/>
      <c r="H329" s="3" t="s">
        <v>26</v>
      </c>
      <c r="I329" s="3">
        <f t="shared" si="43"/>
        <v>2</v>
      </c>
      <c r="J329" s="3" t="s">
        <v>28</v>
      </c>
      <c r="K329" s="3">
        <v>2</v>
      </c>
      <c r="L329" s="6" t="s">
        <v>180</v>
      </c>
      <c r="M329" s="3">
        <v>66</v>
      </c>
      <c r="N329" s="3">
        <f t="shared" si="44"/>
        <v>0.66</v>
      </c>
      <c r="O329" s="3">
        <v>64</v>
      </c>
      <c r="P329" s="3">
        <v>0.64</v>
      </c>
      <c r="Q329" s="17">
        <v>0.32804166666666668</v>
      </c>
      <c r="R329" s="21">
        <v>0.39394320013100009</v>
      </c>
      <c r="S329" s="3">
        <v>4</v>
      </c>
      <c r="T329" s="3">
        <v>151.21</v>
      </c>
      <c r="U329" s="3">
        <v>220.45</v>
      </c>
      <c r="V329" s="26">
        <v>-0.54537033360279097</v>
      </c>
      <c r="W329" s="18">
        <v>0.27317327330375801</v>
      </c>
      <c r="X329" s="18">
        <v>-0.42785408106072598</v>
      </c>
      <c r="Y329" s="18">
        <v>-9.9412707922561294E-2</v>
      </c>
      <c r="Z329" s="18">
        <v>0.59874208292261599</v>
      </c>
      <c r="AA329" s="18">
        <v>0.79720073914312595</v>
      </c>
      <c r="AB329" s="18">
        <v>0.62027394662005497</v>
      </c>
      <c r="AC329" s="18">
        <v>0.13636961730803901</v>
      </c>
      <c r="AD329" s="18">
        <v>-0.363403172793763</v>
      </c>
      <c r="AE329" s="21">
        <v>-0.30656871771332</v>
      </c>
      <c r="AF329" s="3">
        <v>1.87229</v>
      </c>
      <c r="AG329" s="3">
        <v>0.17219200000000001</v>
      </c>
      <c r="AH329" s="3">
        <v>3.6291199999999999</v>
      </c>
      <c r="AI329" s="3">
        <v>34.013300000000001</v>
      </c>
      <c r="AJ329" s="3">
        <v>0.20910500000000001</v>
      </c>
      <c r="AK329" s="3">
        <v>0.182118</v>
      </c>
      <c r="AL329" s="3">
        <v>2.1150000000000002</v>
      </c>
      <c r="AM329" s="3">
        <v>0.191325</v>
      </c>
      <c r="AN329" s="3">
        <v>4.3266200000000001</v>
      </c>
      <c r="AO329" s="3">
        <v>16.781300000000002</v>
      </c>
      <c r="AP329" s="3">
        <v>4.6257399999999997E-2</v>
      </c>
      <c r="AQ329" s="3">
        <v>0.51736800000000005</v>
      </c>
      <c r="AR329" s="3">
        <v>2.61774</v>
      </c>
      <c r="AS329" s="3">
        <v>2.0702000000000002E-2</v>
      </c>
      <c r="AT329" s="3">
        <v>1.9585300000000001</v>
      </c>
      <c r="AU329" s="3">
        <v>4.1259800000000002</v>
      </c>
      <c r="AV329" s="3">
        <v>0.27759600000000001</v>
      </c>
      <c r="AW329" s="3">
        <v>1.98272</v>
      </c>
      <c r="AX329" s="3">
        <v>5.8422400000000003</v>
      </c>
      <c r="AY329" s="3">
        <v>0.34850599999999998</v>
      </c>
      <c r="AZ329" s="21">
        <v>4.4906300000000003</v>
      </c>
      <c r="BA329" s="3">
        <v>69.239999999999995</v>
      </c>
      <c r="BB329" s="3">
        <v>2</v>
      </c>
    </row>
    <row r="330" spans="1:54" s="3" customFormat="1" ht="63" customHeight="1" x14ac:dyDescent="0.25">
      <c r="A330" s="2">
        <v>328</v>
      </c>
      <c r="B330" s="3">
        <v>9</v>
      </c>
      <c r="C330" s="2">
        <v>1</v>
      </c>
      <c r="D330" s="9">
        <v>79</v>
      </c>
      <c r="E330" s="3" t="s">
        <v>16</v>
      </c>
      <c r="F330" s="3">
        <f t="shared" si="42"/>
        <v>1</v>
      </c>
      <c r="G330" s="11"/>
      <c r="H330" s="3" t="s">
        <v>26</v>
      </c>
      <c r="I330" s="3">
        <f t="shared" si="43"/>
        <v>2</v>
      </c>
      <c r="J330" s="3" t="s">
        <v>29</v>
      </c>
      <c r="K330" s="3">
        <v>3</v>
      </c>
      <c r="L330" s="6" t="s">
        <v>148</v>
      </c>
      <c r="M330" s="3">
        <v>66</v>
      </c>
      <c r="N330" s="3">
        <f t="shared" si="44"/>
        <v>0.66</v>
      </c>
      <c r="O330" s="3">
        <v>64</v>
      </c>
      <c r="P330" s="3">
        <v>0.64</v>
      </c>
      <c r="Q330" s="17">
        <v>0.37083333333333329</v>
      </c>
      <c r="R330" s="21">
        <v>0.37123106012293738</v>
      </c>
      <c r="S330" s="3">
        <v>6</v>
      </c>
      <c r="T330" s="3">
        <v>223.68</v>
      </c>
      <c r="U330" s="3">
        <v>248.69</v>
      </c>
      <c r="V330" s="26">
        <v>-0.87741920379691496</v>
      </c>
      <c r="W330" s="18">
        <v>-0.495046254657799</v>
      </c>
      <c r="X330" s="18">
        <v>0.11067680108507701</v>
      </c>
      <c r="Y330" s="18">
        <v>0.48965572414578801</v>
      </c>
      <c r="Z330" s="18">
        <v>-0.75200651018201004</v>
      </c>
      <c r="AA330" s="18">
        <v>-1.47838384790616</v>
      </c>
      <c r="AB330" s="18">
        <v>-4.1779215465695602E-2</v>
      </c>
      <c r="AC330" s="18">
        <v>-1.54294783462623</v>
      </c>
      <c r="AD330" s="18">
        <v>-0.84826578407941799</v>
      </c>
      <c r="AE330" s="21">
        <v>2.3209377081240699</v>
      </c>
      <c r="AF330" s="3">
        <v>0</v>
      </c>
      <c r="AG330" s="3">
        <v>0.26007200000000003</v>
      </c>
      <c r="AH330" s="3">
        <v>-0.48550900000000002</v>
      </c>
      <c r="AI330" s="3">
        <v>51.264000000000003</v>
      </c>
      <c r="AJ330" s="3">
        <v>0.21618200000000001</v>
      </c>
      <c r="AK330" s="3">
        <v>0.63194799999999995</v>
      </c>
      <c r="AL330" s="3">
        <v>0.624</v>
      </c>
      <c r="AM330" s="3">
        <v>0.19206999999999999</v>
      </c>
      <c r="AN330" s="3">
        <v>4.4127200000000002</v>
      </c>
      <c r="AO330" s="3">
        <v>14.448</v>
      </c>
      <c r="AP330" s="3">
        <v>8.6118E-2</v>
      </c>
      <c r="AQ330" s="3">
        <v>0.77569500000000002</v>
      </c>
      <c r="AR330" s="3">
        <v>3.0720000000000001</v>
      </c>
      <c r="AS330" s="3">
        <v>5.3188800000000001E-2</v>
      </c>
      <c r="AT330" s="3">
        <v>2.2538399999999998</v>
      </c>
      <c r="AU330" s="3">
        <v>8.4</v>
      </c>
      <c r="AV330" s="3">
        <v>0.15253800000000001</v>
      </c>
      <c r="AW330" s="3">
        <v>1.6597200000000001</v>
      </c>
      <c r="AX330" s="3">
        <v>0.96</v>
      </c>
      <c r="AY330" s="3">
        <v>0.109819</v>
      </c>
      <c r="AZ330" s="21">
        <v>2.3863400000000001</v>
      </c>
      <c r="BA330" s="3">
        <v>25.01</v>
      </c>
      <c r="BB330" s="3">
        <v>3</v>
      </c>
    </row>
    <row r="331" spans="1:54" s="3" customFormat="1" ht="236.25" customHeight="1" x14ac:dyDescent="0.25">
      <c r="A331" s="2">
        <v>329</v>
      </c>
      <c r="B331" s="3">
        <v>9</v>
      </c>
      <c r="C331" s="2">
        <v>1</v>
      </c>
      <c r="D331" s="9">
        <v>79</v>
      </c>
      <c r="E331" s="3" t="s">
        <v>16</v>
      </c>
      <c r="F331" s="3">
        <f>IF(E332="Happy", 1,2)</f>
        <v>1</v>
      </c>
      <c r="G331" s="11"/>
      <c r="H331" s="3" t="s">
        <v>26</v>
      </c>
      <c r="I331" s="3">
        <f t="shared" si="43"/>
        <v>2</v>
      </c>
      <c r="J331" s="3" t="s">
        <v>30</v>
      </c>
      <c r="K331" s="3">
        <v>4</v>
      </c>
      <c r="L331" s="6" t="s">
        <v>254</v>
      </c>
      <c r="M331" s="3">
        <v>66</v>
      </c>
      <c r="N331" s="3">
        <f t="shared" si="44"/>
        <v>0.66</v>
      </c>
      <c r="O331" s="3">
        <v>64</v>
      </c>
      <c r="P331" s="3">
        <v>0.64</v>
      </c>
      <c r="Q331" s="17">
        <v>0.22241071428571429</v>
      </c>
      <c r="R331" s="21">
        <v>0.34398034910745989</v>
      </c>
      <c r="S331" s="3">
        <v>8</v>
      </c>
      <c r="T331" s="3">
        <v>254.53</v>
      </c>
      <c r="U331" s="3">
        <v>375.63</v>
      </c>
      <c r="V331" s="26">
        <v>0.93729827328294002</v>
      </c>
      <c r="W331" s="18">
        <v>0.71955781123915497</v>
      </c>
      <c r="X331" s="18">
        <v>1.17986828262302</v>
      </c>
      <c r="Y331" s="18">
        <v>0.58669942409890397</v>
      </c>
      <c r="Z331" s="18">
        <v>0.368557533184941</v>
      </c>
      <c r="AA331" s="18">
        <v>-7.6766812800528397E-2</v>
      </c>
      <c r="AB331" s="18">
        <v>0.520556966403939</v>
      </c>
      <c r="AC331" s="18">
        <v>-1.07177596908938</v>
      </c>
      <c r="AD331" s="18">
        <v>0.18071290006660601</v>
      </c>
      <c r="AE331" s="21">
        <v>-0.411774180209312</v>
      </c>
      <c r="AF331" s="3">
        <v>0.90188299999999999</v>
      </c>
      <c r="AG331" s="3">
        <v>0.144313</v>
      </c>
      <c r="AH331" s="3">
        <v>3.2303199999999999</v>
      </c>
      <c r="AI331" s="3">
        <v>46.134799999999998</v>
      </c>
      <c r="AJ331" s="3">
        <v>4.9051600000000001E-2</v>
      </c>
      <c r="AK331" s="3">
        <v>-0.37832900000000003</v>
      </c>
      <c r="AL331" s="3">
        <v>6.9375599999999996E-2</v>
      </c>
      <c r="AM331" s="3">
        <v>7.7766399999999999E-2</v>
      </c>
      <c r="AN331" s="3">
        <v>3.86381</v>
      </c>
      <c r="AO331" s="3">
        <v>18.374600000000001</v>
      </c>
      <c r="AP331" s="3">
        <v>0.114466</v>
      </c>
      <c r="AQ331" s="3">
        <v>0.73144699999999996</v>
      </c>
      <c r="AR331" s="3">
        <v>2.9236900000000001</v>
      </c>
      <c r="AS331" s="3">
        <v>0.10964599999999999</v>
      </c>
      <c r="AT331" s="3">
        <v>2.6101899999999998</v>
      </c>
      <c r="AU331" s="3">
        <v>6.0356800000000002</v>
      </c>
      <c r="AV331" s="3">
        <v>0.16720599999999999</v>
      </c>
      <c r="AW331" s="3">
        <v>1.6694100000000001</v>
      </c>
      <c r="AX331" s="3">
        <v>4.8067399999999996</v>
      </c>
      <c r="AY331" s="3">
        <v>0.27687699999999998</v>
      </c>
      <c r="AZ331" s="21">
        <v>2.8213400000000002</v>
      </c>
      <c r="BA331" s="3">
        <v>121.098</v>
      </c>
      <c r="BB331" s="3">
        <v>4</v>
      </c>
    </row>
    <row r="332" spans="1:54" s="3" customFormat="1" ht="409.5" customHeight="1" x14ac:dyDescent="0.25">
      <c r="A332" s="2">
        <v>330</v>
      </c>
      <c r="B332" s="3">
        <v>9</v>
      </c>
      <c r="C332" s="2">
        <v>1</v>
      </c>
      <c r="D332" s="9">
        <v>79</v>
      </c>
      <c r="E332" s="3" t="s">
        <v>16</v>
      </c>
      <c r="F332" s="3">
        <f>IF(E333="Happy", 1,2)</f>
        <v>1</v>
      </c>
      <c r="G332" s="11" t="s">
        <v>38</v>
      </c>
      <c r="H332" s="3" t="s">
        <v>38</v>
      </c>
      <c r="I332" s="3">
        <f t="shared" si="43"/>
        <v>3</v>
      </c>
      <c r="J332" s="3" t="s">
        <v>39</v>
      </c>
      <c r="K332" s="3">
        <v>1</v>
      </c>
      <c r="L332" s="6" t="s">
        <v>255</v>
      </c>
      <c r="M332" s="3">
        <v>63</v>
      </c>
      <c r="N332" s="3">
        <f t="shared" si="44"/>
        <v>0.63</v>
      </c>
      <c r="O332" s="3">
        <v>100</v>
      </c>
      <c r="P332" s="3">
        <v>1</v>
      </c>
      <c r="Q332" s="17">
        <v>0.1698925971148193</v>
      </c>
      <c r="R332" s="21">
        <v>0.1890542656117527</v>
      </c>
      <c r="S332" s="3">
        <v>2</v>
      </c>
      <c r="T332" s="3">
        <v>17.12</v>
      </c>
      <c r="U332" s="3">
        <v>350.85</v>
      </c>
      <c r="V332" s="26">
        <v>1.09792298406025</v>
      </c>
      <c r="W332" s="18">
        <v>0.15846267666987801</v>
      </c>
      <c r="X332" s="18">
        <v>1.4429121294846201</v>
      </c>
      <c r="Y332" s="18">
        <v>1.20639590174069</v>
      </c>
      <c r="Z332" s="18">
        <v>0.90275672353590897</v>
      </c>
      <c r="AA332" s="18">
        <v>0.96975954223530203</v>
      </c>
      <c r="AB332" s="18">
        <v>-0.24011355346950899</v>
      </c>
      <c r="AC332" s="18">
        <v>0.89299597072488501</v>
      </c>
      <c r="AD332" s="18">
        <v>0.145838005539775</v>
      </c>
      <c r="AE332" s="21">
        <v>-0.840486439880478</v>
      </c>
      <c r="AF332" s="3">
        <v>2.4919099999999998</v>
      </c>
      <c r="AG332" s="3">
        <v>0.11212999999999999</v>
      </c>
      <c r="AH332" s="3">
        <v>2.0079799999999999</v>
      </c>
      <c r="AI332" s="3">
        <v>42.373199999999997</v>
      </c>
      <c r="AJ332" s="3">
        <v>0.129971</v>
      </c>
      <c r="AK332" s="3">
        <v>-0.26289099999999999</v>
      </c>
      <c r="AL332" s="3">
        <v>0.37036999999999998</v>
      </c>
      <c r="AM332" s="3">
        <v>0.152589</v>
      </c>
      <c r="AN332" s="3">
        <v>5.7808799999999998</v>
      </c>
      <c r="AO332" s="3">
        <v>7.2923400000000003</v>
      </c>
      <c r="AP332" s="3">
        <v>0.14076</v>
      </c>
      <c r="AQ332" s="3">
        <v>1.7148699999999999</v>
      </c>
      <c r="AR332" s="3">
        <v>1.11111</v>
      </c>
      <c r="AS332" s="3">
        <v>7.6840800000000001E-2</v>
      </c>
      <c r="AT332" s="3">
        <v>2.29162</v>
      </c>
      <c r="AU332" s="3">
        <v>4.9406699999999999</v>
      </c>
      <c r="AV332" s="3">
        <v>6.8211300000000002E-2</v>
      </c>
      <c r="AW332" s="3">
        <v>1.5918300000000001</v>
      </c>
      <c r="AX332" s="3">
        <v>1.4455199999999999</v>
      </c>
      <c r="AY332" s="3">
        <v>0.33169599999999999</v>
      </c>
      <c r="AZ332" s="21">
        <v>3.74221</v>
      </c>
      <c r="BA332" s="3">
        <v>333.73200000000003</v>
      </c>
      <c r="BB332" s="3">
        <v>1</v>
      </c>
    </row>
    <row r="333" spans="1:54" s="3" customFormat="1" ht="409.5" customHeight="1" x14ac:dyDescent="0.25">
      <c r="A333" s="2">
        <v>331</v>
      </c>
      <c r="B333" s="3">
        <v>9</v>
      </c>
      <c r="C333" s="2">
        <v>1</v>
      </c>
      <c r="D333" s="9">
        <v>79</v>
      </c>
      <c r="E333" s="3" t="s">
        <v>16</v>
      </c>
      <c r="F333" s="3">
        <f t="shared" ref="F333:F340" si="45">IF(E333="Happy", 1,2)</f>
        <v>1</v>
      </c>
      <c r="G333" s="11"/>
      <c r="H333" s="3" t="s">
        <v>38</v>
      </c>
      <c r="I333" s="3">
        <f t="shared" si="43"/>
        <v>3</v>
      </c>
      <c r="J333" s="3" t="s">
        <v>40</v>
      </c>
      <c r="K333" s="3">
        <v>2</v>
      </c>
      <c r="L333" s="6" t="s">
        <v>256</v>
      </c>
      <c r="M333" s="3">
        <v>63</v>
      </c>
      <c r="N333" s="3">
        <f t="shared" si="44"/>
        <v>0.63</v>
      </c>
      <c r="O333" s="3">
        <v>100</v>
      </c>
      <c r="P333" s="3">
        <v>1</v>
      </c>
      <c r="Q333" s="17">
        <v>1.8340406378600831E-2</v>
      </c>
      <c r="R333" s="21">
        <v>0.27195370909598321</v>
      </c>
      <c r="S333" s="3">
        <v>4</v>
      </c>
      <c r="T333" s="3">
        <v>352.29</v>
      </c>
      <c r="U333" s="3">
        <v>536.09</v>
      </c>
      <c r="V333" s="26">
        <v>1.02237241087762</v>
      </c>
      <c r="W333" s="18">
        <v>4.4417656151683901E-2</v>
      </c>
      <c r="X333" s="18">
        <v>1.5818090506337299</v>
      </c>
      <c r="Y333" s="18">
        <v>0.55398559764411803</v>
      </c>
      <c r="Z333" s="18">
        <v>-0.162078428841918</v>
      </c>
      <c r="AA333" s="18">
        <v>-0.28820213539063799</v>
      </c>
      <c r="AB333" s="18">
        <v>8.2424478827159003E-2</v>
      </c>
      <c r="AC333" s="18">
        <v>1.0639738739645399</v>
      </c>
      <c r="AD333" s="18">
        <v>6.4914706589165996E-2</v>
      </c>
      <c r="AE333" s="21">
        <v>-0.41966458989651101</v>
      </c>
      <c r="AF333" s="3">
        <v>2.2069899999999998</v>
      </c>
      <c r="AG333" s="3">
        <v>0.135103</v>
      </c>
      <c r="AH333" s="3">
        <v>2.1893600000000002</v>
      </c>
      <c r="AI333" s="3">
        <v>46.327100000000002</v>
      </c>
      <c r="AJ333" s="3">
        <v>0.20410800000000001</v>
      </c>
      <c r="AK333" s="3">
        <v>0.20729500000000001</v>
      </c>
      <c r="AL333" s="3">
        <v>0</v>
      </c>
      <c r="AM333" s="3">
        <v>0</v>
      </c>
      <c r="AN333" s="3">
        <v>-0.48379699999999998</v>
      </c>
      <c r="AO333" s="3">
        <v>6.9800800000000001</v>
      </c>
      <c r="AP333" s="3">
        <v>9.4858899999999996E-2</v>
      </c>
      <c r="AQ333" s="3">
        <v>1.25745</v>
      </c>
      <c r="AR333" s="3">
        <v>1.2536700000000001</v>
      </c>
      <c r="AS333" s="3">
        <v>0.16517499999999999</v>
      </c>
      <c r="AT333" s="3">
        <v>2.6995900000000002</v>
      </c>
      <c r="AU333" s="3">
        <v>5.2171099999999999</v>
      </c>
      <c r="AV333" s="3">
        <v>0.227935</v>
      </c>
      <c r="AW333" s="3">
        <v>1.81044</v>
      </c>
      <c r="AX333" s="3">
        <v>0.98596099999999998</v>
      </c>
      <c r="AY333" s="3">
        <v>8.1404299999999999E-2</v>
      </c>
      <c r="AZ333" s="21">
        <v>2.9690699999999999</v>
      </c>
      <c r="BA333" s="3">
        <v>183.80099999999999</v>
      </c>
      <c r="BB333" s="3">
        <v>2</v>
      </c>
    </row>
    <row r="334" spans="1:54" s="3" customFormat="1" ht="173.25" customHeight="1" x14ac:dyDescent="0.25">
      <c r="A334" s="2">
        <v>332</v>
      </c>
      <c r="B334" s="3">
        <v>9</v>
      </c>
      <c r="C334" s="2">
        <v>1</v>
      </c>
      <c r="D334" s="9">
        <v>79</v>
      </c>
      <c r="E334" s="3" t="s">
        <v>16</v>
      </c>
      <c r="F334" s="3">
        <f t="shared" si="45"/>
        <v>1</v>
      </c>
      <c r="G334" s="11"/>
      <c r="H334" s="3" t="s">
        <v>38</v>
      </c>
      <c r="I334" s="3">
        <f t="shared" si="43"/>
        <v>3</v>
      </c>
      <c r="J334" s="3" t="s">
        <v>41</v>
      </c>
      <c r="K334" s="3">
        <v>3</v>
      </c>
      <c r="L334" s="6" t="s">
        <v>212</v>
      </c>
      <c r="M334" s="3">
        <v>63</v>
      </c>
      <c r="N334" s="3">
        <f t="shared" si="44"/>
        <v>0.63</v>
      </c>
      <c r="O334" s="3">
        <v>100</v>
      </c>
      <c r="P334" s="3">
        <v>1</v>
      </c>
      <c r="Q334" s="17">
        <v>2.6150793650793661E-2</v>
      </c>
      <c r="R334" s="21">
        <v>0.41370914654683177</v>
      </c>
      <c r="S334" s="3">
        <v>6</v>
      </c>
      <c r="T334" s="3">
        <v>540.42999999999995</v>
      </c>
      <c r="U334" s="3">
        <v>612.04999999999995</v>
      </c>
      <c r="V334" s="26">
        <v>1.91412435127819</v>
      </c>
      <c r="W334" s="18">
        <v>-0.27721476723057098</v>
      </c>
      <c r="X334" s="18">
        <v>2.0904192888625901</v>
      </c>
      <c r="Y334" s="18">
        <v>1.48479276042972</v>
      </c>
      <c r="Z334" s="18">
        <v>1.12139641350346</v>
      </c>
      <c r="AA334" s="18">
        <v>0.73554621138828602</v>
      </c>
      <c r="AB334" s="18">
        <v>0.88595345334970699</v>
      </c>
      <c r="AC334" s="18">
        <v>0.43705489541914899</v>
      </c>
      <c r="AD334" s="18">
        <v>-0.547596790488872</v>
      </c>
      <c r="AE334" s="21">
        <v>0.93485573973938096</v>
      </c>
      <c r="AF334" s="3">
        <v>2.9161999999999999</v>
      </c>
      <c r="AG334" s="3">
        <v>0.20907200000000001</v>
      </c>
      <c r="AH334" s="3">
        <v>2.2166100000000002</v>
      </c>
      <c r="AI334" s="3">
        <v>47.078200000000002</v>
      </c>
      <c r="AJ334" s="3">
        <v>0.22523899999999999</v>
      </c>
      <c r="AK334" s="3">
        <v>8.8253600000000001E-2</v>
      </c>
      <c r="AL334" s="3">
        <v>0</v>
      </c>
      <c r="AM334" s="3">
        <v>0.186922</v>
      </c>
      <c r="AN334" s="3">
        <v>0.48892400000000003</v>
      </c>
      <c r="AO334" s="3">
        <v>8.7485999999999997</v>
      </c>
      <c r="AP334" s="3">
        <v>3.9080299999999998E-2</v>
      </c>
      <c r="AQ334" s="3">
        <v>1.07352</v>
      </c>
      <c r="AR334" s="3">
        <v>0.38547500000000001</v>
      </c>
      <c r="AS334" s="3">
        <v>0.120225</v>
      </c>
      <c r="AT334" s="3">
        <v>2.5752000000000002</v>
      </c>
      <c r="AU334" s="3">
        <v>0.77095000000000002</v>
      </c>
      <c r="AV334" s="3">
        <v>0.24380099999999999</v>
      </c>
      <c r="AW334" s="3">
        <v>2.0548999999999999</v>
      </c>
      <c r="AX334" s="3">
        <v>0</v>
      </c>
      <c r="AY334" s="3">
        <v>7.0662900000000001E-2</v>
      </c>
      <c r="AZ334" s="21">
        <v>-0.52344800000000002</v>
      </c>
      <c r="BA334" s="3">
        <v>71.620999999999995</v>
      </c>
      <c r="BB334" s="3">
        <v>3</v>
      </c>
    </row>
    <row r="335" spans="1:54" s="3" customFormat="1" ht="252" customHeight="1" x14ac:dyDescent="0.25">
      <c r="A335" s="2">
        <v>333</v>
      </c>
      <c r="B335" s="3">
        <v>9</v>
      </c>
      <c r="C335" s="2">
        <v>1</v>
      </c>
      <c r="D335" s="9">
        <v>79</v>
      </c>
      <c r="E335" s="3" t="s">
        <v>53</v>
      </c>
      <c r="F335" s="3">
        <f t="shared" si="45"/>
        <v>2</v>
      </c>
      <c r="G335" s="11" t="s">
        <v>54</v>
      </c>
      <c r="H335" s="3" t="s">
        <v>54</v>
      </c>
      <c r="I335" s="3">
        <f t="shared" si="43"/>
        <v>1</v>
      </c>
      <c r="J335" s="3" t="s">
        <v>55</v>
      </c>
      <c r="K335" s="3">
        <v>1</v>
      </c>
      <c r="L335" s="6" t="s">
        <v>238</v>
      </c>
      <c r="M335" s="3">
        <v>-70</v>
      </c>
      <c r="N335" s="3">
        <f t="shared" si="44"/>
        <v>-0.7</v>
      </c>
      <c r="O335" s="3">
        <v>-26</v>
      </c>
      <c r="P335" s="3">
        <v>-0.26</v>
      </c>
      <c r="Q335" s="17">
        <v>-5.1751373626373623E-2</v>
      </c>
      <c r="R335" s="21">
        <v>0.17634464571821129</v>
      </c>
      <c r="S335" s="3">
        <v>2</v>
      </c>
      <c r="T335" s="3">
        <v>45.67</v>
      </c>
      <c r="U335" s="3">
        <v>162.19</v>
      </c>
      <c r="V335" s="26">
        <v>-1.0057367032434099</v>
      </c>
      <c r="W335" s="18">
        <v>-0.67301552037383305</v>
      </c>
      <c r="X335" s="18">
        <v>-1.37018474628146</v>
      </c>
      <c r="Y335" s="18">
        <v>0.26082360587399001</v>
      </c>
      <c r="Z335" s="18">
        <v>0.36798741665308099</v>
      </c>
      <c r="AA335" s="18">
        <v>0.215992155485179</v>
      </c>
      <c r="AB335" s="18">
        <v>0.48534222863531101</v>
      </c>
      <c r="AC335" s="18">
        <v>-0.344628564506956</v>
      </c>
      <c r="AD335" s="18">
        <v>0.23556467592434099</v>
      </c>
      <c r="AE335" s="21">
        <v>-1.2770891092388399</v>
      </c>
      <c r="AF335" s="3">
        <v>0.16480700000000001</v>
      </c>
      <c r="AG335" s="3">
        <v>6.6198400000000004E-2</v>
      </c>
      <c r="AH335" s="3">
        <v>2.74017</v>
      </c>
      <c r="AI335" s="3">
        <v>52.861800000000002</v>
      </c>
      <c r="AJ335" s="3">
        <v>7.1986300000000003E-2</v>
      </c>
      <c r="AK335" s="3">
        <v>-0.34412199999999998</v>
      </c>
      <c r="AL335" s="3">
        <v>0</v>
      </c>
      <c r="AM335" s="3">
        <v>0.14802499999999999</v>
      </c>
      <c r="AN335" s="3">
        <v>1.7857799999999999</v>
      </c>
      <c r="AO335" s="3">
        <v>0.87553599999999998</v>
      </c>
      <c r="AP335" s="3">
        <v>6.2740400000000002E-2</v>
      </c>
      <c r="AQ335" s="3">
        <v>1.39873</v>
      </c>
      <c r="AR335" s="3">
        <v>0</v>
      </c>
      <c r="AS335" s="3">
        <v>5.6472000000000001E-2</v>
      </c>
      <c r="AT335" s="3">
        <v>0.72597800000000001</v>
      </c>
      <c r="AU335" s="3">
        <v>0</v>
      </c>
      <c r="AV335" s="3">
        <v>0.14116400000000001</v>
      </c>
      <c r="AW335" s="3">
        <v>-0.48888999999999999</v>
      </c>
      <c r="AX335" s="3">
        <v>9.2703900000000006E-2</v>
      </c>
      <c r="AY335" s="3">
        <v>0.115374</v>
      </c>
      <c r="AZ335" s="21">
        <v>2.5168699999999999</v>
      </c>
      <c r="BA335" s="3">
        <v>116.521</v>
      </c>
      <c r="BB335" s="3">
        <v>1</v>
      </c>
    </row>
    <row r="336" spans="1:54" s="3" customFormat="1" ht="141.75" customHeight="1" x14ac:dyDescent="0.25">
      <c r="A336" s="2">
        <v>334</v>
      </c>
      <c r="B336" s="3">
        <v>9</v>
      </c>
      <c r="C336" s="2">
        <v>1</v>
      </c>
      <c r="D336" s="9">
        <v>79</v>
      </c>
      <c r="E336" s="3" t="s">
        <v>53</v>
      </c>
      <c r="F336" s="3">
        <f t="shared" si="45"/>
        <v>2</v>
      </c>
      <c r="G336" s="11"/>
      <c r="H336" s="3" t="s">
        <v>54</v>
      </c>
      <c r="I336" s="3">
        <f t="shared" si="43"/>
        <v>1</v>
      </c>
      <c r="J336" s="3" t="s">
        <v>56</v>
      </c>
      <c r="K336" s="3">
        <v>2</v>
      </c>
      <c r="L336" s="6" t="s">
        <v>257</v>
      </c>
      <c r="M336" s="3">
        <v>-70</v>
      </c>
      <c r="N336" s="3">
        <f t="shared" si="44"/>
        <v>-0.7</v>
      </c>
      <c r="O336" s="3">
        <v>-26</v>
      </c>
      <c r="P336" s="3">
        <v>-0.26</v>
      </c>
      <c r="Q336" s="17">
        <v>2.6840277777777779E-2</v>
      </c>
      <c r="R336" s="21">
        <v>0.26305749096269299</v>
      </c>
      <c r="S336" s="3">
        <v>4</v>
      </c>
      <c r="T336" s="3">
        <v>164.99</v>
      </c>
      <c r="U336" s="3">
        <v>297.25</v>
      </c>
      <c r="V336" s="26">
        <v>0.74915091702775605</v>
      </c>
      <c r="W336" s="18">
        <v>0.150475763281646</v>
      </c>
      <c r="X336" s="18">
        <v>-0.20597995467258901</v>
      </c>
      <c r="Y336" s="18">
        <v>0.199073513992059</v>
      </c>
      <c r="Z336" s="18">
        <v>8.9913078239329106E-2</v>
      </c>
      <c r="AA336" s="18">
        <v>0.17779282001650401</v>
      </c>
      <c r="AB336" s="18">
        <v>-0.53840625222250504</v>
      </c>
      <c r="AC336" s="18">
        <v>-0.331854353345372</v>
      </c>
      <c r="AD336" s="18">
        <v>0.73058502347994703</v>
      </c>
      <c r="AE336" s="21">
        <v>0.411458563821823</v>
      </c>
      <c r="AF336" s="3">
        <v>6.3520900000000005E-2</v>
      </c>
      <c r="AG336" s="3">
        <v>0.140932</v>
      </c>
      <c r="AH336" s="3">
        <v>2.7744599999999999</v>
      </c>
      <c r="AI336" s="3">
        <v>55.127000000000002</v>
      </c>
      <c r="AJ336" s="3">
        <v>0.316025</v>
      </c>
      <c r="AK336" s="3">
        <v>0.62114499999999995</v>
      </c>
      <c r="AL336" s="3">
        <v>0.90744100000000005</v>
      </c>
      <c r="AM336" s="3">
        <v>0.13042100000000001</v>
      </c>
      <c r="AN336" s="3">
        <v>5.4380300000000004</v>
      </c>
      <c r="AO336" s="3">
        <v>4.52813</v>
      </c>
      <c r="AP336" s="3">
        <v>0.11675199999999999</v>
      </c>
      <c r="AQ336" s="3">
        <v>1.5623899999999999</v>
      </c>
      <c r="AR336" s="3">
        <v>0</v>
      </c>
      <c r="AS336" s="3">
        <v>0.115369</v>
      </c>
      <c r="AT336" s="3">
        <v>-0.47438399999999997</v>
      </c>
      <c r="AU336" s="3">
        <v>0.45372099999999999</v>
      </c>
      <c r="AV336" s="3">
        <v>0.211894</v>
      </c>
      <c r="AW336" s="3">
        <v>2.0928499999999999</v>
      </c>
      <c r="AX336" s="3">
        <v>4.9546299999999999</v>
      </c>
      <c r="AY336" s="3">
        <v>6.5123500000000001E-2</v>
      </c>
      <c r="AZ336" s="21">
        <v>2.2737799999999999</v>
      </c>
      <c r="BA336" s="3">
        <v>132.25800000000001</v>
      </c>
      <c r="BB336" s="3">
        <v>2</v>
      </c>
    </row>
    <row r="337" spans="1:54" s="3" customFormat="1" ht="94.5" customHeight="1" x14ac:dyDescent="0.25">
      <c r="A337" s="2">
        <v>335</v>
      </c>
      <c r="B337" s="3">
        <v>9</v>
      </c>
      <c r="C337" s="2">
        <v>1</v>
      </c>
      <c r="D337" s="9">
        <v>79</v>
      </c>
      <c r="E337" s="3" t="s">
        <v>53</v>
      </c>
      <c r="F337" s="3">
        <f t="shared" si="45"/>
        <v>2</v>
      </c>
      <c r="G337" s="11"/>
      <c r="H337" s="3" t="s">
        <v>54</v>
      </c>
      <c r="I337" s="3">
        <f t="shared" si="43"/>
        <v>1</v>
      </c>
      <c r="J337" s="3" t="s">
        <v>57</v>
      </c>
      <c r="K337" s="3">
        <v>3</v>
      </c>
      <c r="L337" s="6" t="s">
        <v>164</v>
      </c>
      <c r="M337" s="3">
        <v>-70</v>
      </c>
      <c r="N337" s="3">
        <f t="shared" si="44"/>
        <v>-0.7</v>
      </c>
      <c r="O337" s="3">
        <v>-26</v>
      </c>
      <c r="P337" s="3">
        <v>-0.26</v>
      </c>
      <c r="Q337" s="17">
        <v>0.1043981481481482</v>
      </c>
      <c r="R337" s="21">
        <v>0.29846885069532958</v>
      </c>
      <c r="S337" s="3">
        <v>6</v>
      </c>
      <c r="T337" s="3">
        <v>309.39</v>
      </c>
      <c r="U337" s="3">
        <v>342.05</v>
      </c>
      <c r="V337" s="26">
        <v>0.961061617019214</v>
      </c>
      <c r="W337" s="18">
        <v>1.2717544825226299</v>
      </c>
      <c r="X337" s="18">
        <v>-0.64295705039010997</v>
      </c>
      <c r="Y337" s="18">
        <v>-1.08686528832785</v>
      </c>
      <c r="Z337" s="18">
        <v>0.16744892657202001</v>
      </c>
      <c r="AA337" s="18">
        <v>0.50601160656160904</v>
      </c>
      <c r="AB337" s="18">
        <v>1.7059231241800801</v>
      </c>
      <c r="AC337" s="18">
        <v>-0.73080279423789096</v>
      </c>
      <c r="AD337" s="18">
        <v>-0.99284423032171898</v>
      </c>
      <c r="AE337" s="21">
        <v>0.103732586021048</v>
      </c>
      <c r="AF337" s="3">
        <v>0</v>
      </c>
      <c r="AG337" s="3">
        <v>0.32097500000000001</v>
      </c>
      <c r="AH337" s="3">
        <v>-0.28931400000000002</v>
      </c>
      <c r="AI337" s="3">
        <v>57.058799999999998</v>
      </c>
      <c r="AJ337" s="3">
        <v>0.34191100000000002</v>
      </c>
      <c r="AK337" s="3">
        <v>0.60850700000000002</v>
      </c>
      <c r="AL337" s="3">
        <v>0</v>
      </c>
      <c r="AM337" s="3">
        <v>0</v>
      </c>
      <c r="AN337" s="3">
        <v>-0.438363</v>
      </c>
      <c r="AO337" s="3">
        <v>2.0588199999999999</v>
      </c>
      <c r="AP337" s="3">
        <v>8.81551E-2</v>
      </c>
      <c r="AQ337" s="3">
        <v>1.55169</v>
      </c>
      <c r="AR337" s="3">
        <v>0</v>
      </c>
      <c r="AS337" s="3">
        <v>1.0990400000000001E-2</v>
      </c>
      <c r="AT337" s="3">
        <v>-0.90704899999999999</v>
      </c>
      <c r="AU337" s="3">
        <v>0</v>
      </c>
      <c r="AV337" s="3">
        <v>0.240679</v>
      </c>
      <c r="AW337" s="3">
        <v>0.23715700000000001</v>
      </c>
      <c r="AX337" s="3">
        <v>3.4191199999999999</v>
      </c>
      <c r="AY337" s="3">
        <v>0.16852300000000001</v>
      </c>
      <c r="AZ337" s="21">
        <v>2.6345000000000001</v>
      </c>
      <c r="BA337" s="3">
        <v>32.658000000000001</v>
      </c>
      <c r="BB337" s="3">
        <v>3</v>
      </c>
    </row>
    <row r="338" spans="1:54" s="3" customFormat="1" ht="141.75" customHeight="1" x14ac:dyDescent="0.25">
      <c r="A338" s="2">
        <v>336</v>
      </c>
      <c r="B338" s="3">
        <v>9</v>
      </c>
      <c r="C338" s="2">
        <v>1</v>
      </c>
      <c r="D338" s="9">
        <v>79</v>
      </c>
      <c r="E338" s="3" t="s">
        <v>53</v>
      </c>
      <c r="F338" s="3">
        <f t="shared" si="45"/>
        <v>2</v>
      </c>
      <c r="G338" s="11"/>
      <c r="H338" s="3" t="s">
        <v>54</v>
      </c>
      <c r="I338" s="3">
        <f t="shared" si="43"/>
        <v>1</v>
      </c>
      <c r="J338" s="3" t="s">
        <v>58</v>
      </c>
      <c r="K338" s="3">
        <v>4</v>
      </c>
      <c r="L338" s="6" t="s">
        <v>196</v>
      </c>
      <c r="M338" s="3">
        <v>-70</v>
      </c>
      <c r="N338" s="3">
        <f t="shared" si="44"/>
        <v>-0.7</v>
      </c>
      <c r="O338" s="3">
        <v>-26</v>
      </c>
      <c r="P338" s="3">
        <v>-0.26</v>
      </c>
      <c r="Q338" s="17">
        <v>0.19045833333333331</v>
      </c>
      <c r="R338" s="21">
        <v>0.21061971775989841</v>
      </c>
      <c r="S338" s="3">
        <v>8</v>
      </c>
      <c r="T338" s="3">
        <v>356.36</v>
      </c>
      <c r="U338" s="3">
        <v>420.9</v>
      </c>
      <c r="V338" s="26">
        <v>-0.137429135522255</v>
      </c>
      <c r="W338" s="18">
        <v>1.61456958923889</v>
      </c>
      <c r="X338" s="18">
        <v>-5.8561417024693099E-2</v>
      </c>
      <c r="Y338" s="18">
        <v>-1.75096694315407</v>
      </c>
      <c r="Z338" s="18">
        <v>-1.81840948302245</v>
      </c>
      <c r="AA338" s="18">
        <v>-1.60335508239675</v>
      </c>
      <c r="AB338" s="18">
        <v>0.352743855803553</v>
      </c>
      <c r="AC338" s="18">
        <v>-2.8712496164726299E-2</v>
      </c>
      <c r="AD338" s="18">
        <v>-0.20968276390850599</v>
      </c>
      <c r="AE338" s="21">
        <v>-0.21714407459172599</v>
      </c>
      <c r="AF338" s="3">
        <v>0.74418600000000001</v>
      </c>
      <c r="AG338" s="3">
        <v>7.1147100000000005E-2</v>
      </c>
      <c r="AH338" s="3">
        <v>2.5682</v>
      </c>
      <c r="AI338" s="3">
        <v>54.716299999999997</v>
      </c>
      <c r="AJ338" s="3">
        <v>0.28167199999999998</v>
      </c>
      <c r="AK338" s="3">
        <v>0.61630200000000002</v>
      </c>
      <c r="AL338" s="3">
        <v>0</v>
      </c>
      <c r="AM338" s="3">
        <v>0</v>
      </c>
      <c r="AN338" s="3">
        <v>-0.438363</v>
      </c>
      <c r="AO338" s="3">
        <v>5.0232599999999996</v>
      </c>
      <c r="AP338" s="3">
        <v>3.87068E-2</v>
      </c>
      <c r="AQ338" s="3">
        <v>1.4426699999999999</v>
      </c>
      <c r="AR338" s="3">
        <v>0</v>
      </c>
      <c r="AS338" s="3">
        <v>6.5233100000000002E-2</v>
      </c>
      <c r="AT338" s="3">
        <v>8.4512000000000004E-2</v>
      </c>
      <c r="AU338" s="3">
        <v>1.5255799999999999</v>
      </c>
      <c r="AV338" s="3">
        <v>0.137937</v>
      </c>
      <c r="AW338" s="3">
        <v>1.7884599999999999</v>
      </c>
      <c r="AX338" s="3">
        <v>0.669767</v>
      </c>
      <c r="AY338" s="3">
        <v>0.88271299999999997</v>
      </c>
      <c r="AZ338" s="21">
        <v>4.0137900000000002</v>
      </c>
      <c r="BA338" s="3">
        <v>64.537000000000006</v>
      </c>
      <c r="BB338" s="3">
        <v>4</v>
      </c>
    </row>
    <row r="339" spans="1:54" s="3" customFormat="1" ht="252" customHeight="1" x14ac:dyDescent="0.25">
      <c r="A339" s="2">
        <v>337</v>
      </c>
      <c r="B339" s="3">
        <v>9</v>
      </c>
      <c r="C339" s="2">
        <v>1</v>
      </c>
      <c r="D339" s="9">
        <v>79</v>
      </c>
      <c r="E339" s="3" t="s">
        <v>53</v>
      </c>
      <c r="F339" s="3">
        <f t="shared" si="45"/>
        <v>2</v>
      </c>
      <c r="G339" s="11" t="s">
        <v>76</v>
      </c>
      <c r="H339" s="3" t="s">
        <v>76</v>
      </c>
      <c r="I339" s="3">
        <f t="shared" si="43"/>
        <v>2</v>
      </c>
      <c r="J339" s="3" t="s">
        <v>77</v>
      </c>
      <c r="K339" s="3">
        <v>1</v>
      </c>
      <c r="L339" s="6" t="s">
        <v>258</v>
      </c>
      <c r="M339" s="3">
        <v>-67</v>
      </c>
      <c r="N339" s="3">
        <f t="shared" si="44"/>
        <v>-0.67</v>
      </c>
      <c r="O339" s="3">
        <v>-67</v>
      </c>
      <c r="P339" s="3">
        <v>-0.67</v>
      </c>
      <c r="Q339" s="17">
        <v>0.1621309246309246</v>
      </c>
      <c r="R339" s="21">
        <v>0.19002794827984659</v>
      </c>
      <c r="S339" s="3">
        <v>2</v>
      </c>
      <c r="T339" s="3">
        <v>35.57</v>
      </c>
      <c r="U339" s="3">
        <v>172.18</v>
      </c>
      <c r="V339" s="26">
        <v>-1.2331174994927201</v>
      </c>
      <c r="W339" s="18">
        <v>1.2224028816872699E-2</v>
      </c>
      <c r="X339" s="18">
        <v>-0.40564088646116803</v>
      </c>
      <c r="Y339" s="18">
        <v>1.2713844428857599</v>
      </c>
      <c r="Z339" s="18">
        <v>-0.89710116753987701</v>
      </c>
      <c r="AA339" s="18">
        <v>-1.01697527524264</v>
      </c>
      <c r="AB339" s="18">
        <v>-3.1876917029346998</v>
      </c>
      <c r="AC339" s="18">
        <v>-0.56179015425386902</v>
      </c>
      <c r="AD339" s="18">
        <v>1.0613886346713499</v>
      </c>
      <c r="AE339" s="21">
        <v>-0.40651390708451302</v>
      </c>
      <c r="AF339" s="3">
        <v>0.14055599999999999</v>
      </c>
      <c r="AG339" s="3">
        <v>0.14405899999999999</v>
      </c>
      <c r="AH339" s="3">
        <v>2.2053699999999998</v>
      </c>
      <c r="AI339" s="3">
        <v>52.629600000000003</v>
      </c>
      <c r="AJ339" s="3">
        <v>0.27124100000000001</v>
      </c>
      <c r="AK339" s="3">
        <v>1.01976</v>
      </c>
      <c r="AL339" s="3">
        <v>0.131772</v>
      </c>
      <c r="AM339" s="3">
        <v>0.116925</v>
      </c>
      <c r="AN339" s="3">
        <v>7.0351699999999999</v>
      </c>
      <c r="AO339" s="3">
        <v>3.6017600000000001</v>
      </c>
      <c r="AP339" s="3">
        <v>6.7149799999999996E-2</v>
      </c>
      <c r="AQ339" s="3">
        <v>0.87091099999999999</v>
      </c>
      <c r="AR339" s="3">
        <v>0</v>
      </c>
      <c r="AS339" s="3">
        <v>0.10281999999999999</v>
      </c>
      <c r="AT339" s="3">
        <v>-0.527833</v>
      </c>
      <c r="AU339" s="3">
        <v>0.59736500000000003</v>
      </c>
      <c r="AV339" s="3">
        <v>8.2428399999999999E-2</v>
      </c>
      <c r="AW339" s="3">
        <v>1.91089</v>
      </c>
      <c r="AX339" s="3">
        <v>1.57247</v>
      </c>
      <c r="AY339" s="3">
        <v>0.51978999999999997</v>
      </c>
      <c r="AZ339" s="21">
        <v>3.88984</v>
      </c>
      <c r="BA339" s="3">
        <v>136.61000000000001</v>
      </c>
      <c r="BB339" s="3">
        <v>1</v>
      </c>
    </row>
    <row r="340" spans="1:54" s="3" customFormat="1" ht="110.25" customHeight="1" x14ac:dyDescent="0.25">
      <c r="A340" s="2">
        <v>338</v>
      </c>
      <c r="B340" s="3">
        <v>9</v>
      </c>
      <c r="C340" s="2">
        <v>1</v>
      </c>
      <c r="D340" s="9">
        <v>79</v>
      </c>
      <c r="E340" s="3" t="s">
        <v>53</v>
      </c>
      <c r="F340" s="3">
        <f t="shared" si="45"/>
        <v>2</v>
      </c>
      <c r="G340" s="11"/>
      <c r="H340" s="3" t="s">
        <v>76</v>
      </c>
      <c r="I340" s="3">
        <f t="shared" si="43"/>
        <v>2</v>
      </c>
      <c r="J340" s="3" t="s">
        <v>78</v>
      </c>
      <c r="K340" s="3">
        <v>2</v>
      </c>
      <c r="L340" s="6" t="s">
        <v>162</v>
      </c>
      <c r="M340" s="3">
        <v>-67</v>
      </c>
      <c r="N340" s="3">
        <f t="shared" si="44"/>
        <v>-0.67</v>
      </c>
      <c r="O340" s="3">
        <v>-67</v>
      </c>
      <c r="P340" s="3">
        <v>-0.67</v>
      </c>
      <c r="Q340" s="17">
        <v>3.9388888888888897E-2</v>
      </c>
      <c r="R340" s="21">
        <v>0.29458149326262761</v>
      </c>
      <c r="S340" s="3">
        <v>4</v>
      </c>
      <c r="T340" s="3">
        <v>186.33</v>
      </c>
      <c r="U340" s="3">
        <v>226.77</v>
      </c>
      <c r="V340" s="26">
        <v>-1.69694698346499</v>
      </c>
      <c r="W340" s="18">
        <v>-2.2825521966544602</v>
      </c>
      <c r="X340" s="18">
        <v>-1.8655647678123599</v>
      </c>
      <c r="Y340" s="18">
        <v>-1.45687183888439</v>
      </c>
      <c r="Z340" s="18">
        <v>-0.54220362645825704</v>
      </c>
      <c r="AA340" s="18">
        <v>0.191398062786169</v>
      </c>
      <c r="AB340" s="18">
        <v>0.97596157212466295</v>
      </c>
      <c r="AC340" s="18">
        <v>1.1116315079135199</v>
      </c>
      <c r="AD340" s="18">
        <v>-1.0724131644363299</v>
      </c>
      <c r="AE340" s="21">
        <v>9.0476697746555701E-3</v>
      </c>
      <c r="AF340" s="3">
        <v>0</v>
      </c>
      <c r="AG340" s="3">
        <v>0.186697</v>
      </c>
      <c r="AH340" s="3">
        <v>-0.561226</v>
      </c>
      <c r="AI340" s="3">
        <v>56.704599999999999</v>
      </c>
      <c r="AJ340" s="3">
        <v>0.19555800000000001</v>
      </c>
      <c r="AK340" s="3">
        <v>-0.28651900000000002</v>
      </c>
      <c r="AL340" s="3">
        <v>0</v>
      </c>
      <c r="AM340" s="3">
        <v>8.28213E-2</v>
      </c>
      <c r="AN340" s="3">
        <v>-5.6578000000000003E-2</v>
      </c>
      <c r="AO340" s="3">
        <v>8.6689799999999995</v>
      </c>
      <c r="AP340" s="3">
        <v>0.24096899999999999</v>
      </c>
      <c r="AQ340" s="3">
        <v>1.8307899999999999</v>
      </c>
      <c r="AR340" s="3">
        <v>0</v>
      </c>
      <c r="AS340" s="3">
        <v>0.107711</v>
      </c>
      <c r="AT340" s="3">
        <v>0.58583200000000002</v>
      </c>
      <c r="AU340" s="3">
        <v>0.326571</v>
      </c>
      <c r="AV340" s="3">
        <v>4.07654E-2</v>
      </c>
      <c r="AW340" s="3">
        <v>1.8190999999999999</v>
      </c>
      <c r="AX340" s="3">
        <v>0</v>
      </c>
      <c r="AY340" s="3">
        <v>0</v>
      </c>
      <c r="AZ340" s="21">
        <v>-0.53819399999999995</v>
      </c>
      <c r="BA340" s="3">
        <v>40.442999999999998</v>
      </c>
      <c r="BB340" s="3">
        <v>2</v>
      </c>
    </row>
    <row r="341" spans="1:54" s="3" customFormat="1" ht="110.25" customHeight="1" x14ac:dyDescent="0.25">
      <c r="A341" s="2">
        <v>339</v>
      </c>
      <c r="B341" s="3">
        <v>9</v>
      </c>
      <c r="C341" s="2">
        <v>1</v>
      </c>
      <c r="D341" s="9">
        <v>79</v>
      </c>
      <c r="E341" s="3" t="s">
        <v>53</v>
      </c>
      <c r="F341" s="3">
        <f>IF(E342="Happy", 1,2)</f>
        <v>2</v>
      </c>
      <c r="G341" s="11"/>
      <c r="H341" s="3" t="s">
        <v>76</v>
      </c>
      <c r="I341" s="3">
        <f t="shared" si="43"/>
        <v>2</v>
      </c>
      <c r="J341" s="3" t="s">
        <v>79</v>
      </c>
      <c r="K341" s="3">
        <v>3</v>
      </c>
      <c r="L341" s="6" t="s">
        <v>149</v>
      </c>
      <c r="M341" s="3">
        <v>-67</v>
      </c>
      <c r="N341" s="3">
        <f t="shared" si="44"/>
        <v>-0.67</v>
      </c>
      <c r="O341" s="3">
        <v>-67</v>
      </c>
      <c r="P341" s="3">
        <v>-0.67</v>
      </c>
      <c r="Q341" s="17">
        <v>1.39236111111111E-2</v>
      </c>
      <c r="R341" s="21">
        <v>0.30988114927862381</v>
      </c>
      <c r="S341" s="3">
        <v>6</v>
      </c>
      <c r="T341" s="3">
        <v>233.9</v>
      </c>
      <c r="U341" s="3">
        <v>275.61</v>
      </c>
      <c r="V341" s="26">
        <v>0.264930069063185</v>
      </c>
      <c r="W341" s="18">
        <v>0.18423204758372</v>
      </c>
      <c r="X341" s="18">
        <v>-0.633987641941541</v>
      </c>
      <c r="Y341" s="18">
        <v>-0.12488119026320101</v>
      </c>
      <c r="Z341" s="18">
        <v>-1.5989146182571099</v>
      </c>
      <c r="AA341" s="18">
        <v>-1.6471257955606999</v>
      </c>
      <c r="AB341" s="18">
        <v>0.86669665082276404</v>
      </c>
      <c r="AC341" s="18">
        <v>2.6126013193995301</v>
      </c>
      <c r="AD341" s="18">
        <v>-1.27522929862635</v>
      </c>
      <c r="AE341" s="21">
        <v>1.6818145234609201</v>
      </c>
      <c r="AF341" s="3">
        <v>0</v>
      </c>
      <c r="AG341" s="3">
        <v>0.26815899999999998</v>
      </c>
      <c r="AH341" s="3">
        <v>-0.47914099999999998</v>
      </c>
      <c r="AI341" s="3">
        <v>54.992800000000003</v>
      </c>
      <c r="AJ341" s="3">
        <v>0.14635600000000001</v>
      </c>
      <c r="AK341" s="3">
        <v>-0.469134</v>
      </c>
      <c r="AL341" s="3">
        <v>0</v>
      </c>
      <c r="AM341" s="3">
        <v>2.1217300000000001E-2</v>
      </c>
      <c r="AN341" s="3">
        <v>-0.43636999999999998</v>
      </c>
      <c r="AO341" s="3">
        <v>6.1582699999999999</v>
      </c>
      <c r="AP341" s="3">
        <v>0.238094</v>
      </c>
      <c r="AQ341" s="3">
        <v>1.9271499999999999</v>
      </c>
      <c r="AR341" s="3">
        <v>0.28777000000000003</v>
      </c>
      <c r="AS341" s="3">
        <v>5.2873000000000003E-2</v>
      </c>
      <c r="AT341" s="3">
        <v>3.2739600000000002</v>
      </c>
      <c r="AU341" s="3">
        <v>0</v>
      </c>
      <c r="AV341" s="3">
        <v>9.3071100000000004E-2</v>
      </c>
      <c r="AW341" s="3">
        <v>1.27763</v>
      </c>
      <c r="AX341" s="3">
        <v>0</v>
      </c>
      <c r="AY341" s="3">
        <v>0.30186299999999999</v>
      </c>
      <c r="AZ341" s="21">
        <v>-3.6269500000000003E-2</v>
      </c>
      <c r="BA341" s="3">
        <v>41.71</v>
      </c>
      <c r="BB341" s="3">
        <v>3</v>
      </c>
    </row>
    <row r="342" spans="1:54" s="3" customFormat="1" ht="110.25" customHeight="1" x14ac:dyDescent="0.25">
      <c r="A342" s="2">
        <v>340</v>
      </c>
      <c r="B342" s="3">
        <v>9</v>
      </c>
      <c r="C342" s="2">
        <v>1</v>
      </c>
      <c r="D342" s="9">
        <v>79</v>
      </c>
      <c r="E342" s="3" t="s">
        <v>53</v>
      </c>
      <c r="F342" s="3">
        <f>IF(E343="Happy", 1,2)</f>
        <v>2</v>
      </c>
      <c r="G342" s="11"/>
      <c r="H342" s="3" t="s">
        <v>76</v>
      </c>
      <c r="I342" s="3">
        <f t="shared" si="43"/>
        <v>2</v>
      </c>
      <c r="J342" s="3" t="s">
        <v>80</v>
      </c>
      <c r="K342" s="3">
        <v>4</v>
      </c>
      <c r="L342" s="6" t="s">
        <v>225</v>
      </c>
      <c r="M342" s="3">
        <v>-67</v>
      </c>
      <c r="N342" s="3">
        <f t="shared" si="44"/>
        <v>-0.67</v>
      </c>
      <c r="O342" s="3">
        <v>-67</v>
      </c>
      <c r="P342" s="3">
        <v>-0.67</v>
      </c>
      <c r="Q342" s="17">
        <v>0.1216269841269841</v>
      </c>
      <c r="R342" s="21">
        <v>0.25048288901558602</v>
      </c>
      <c r="S342" s="3">
        <v>8</v>
      </c>
      <c r="T342" s="3">
        <v>284.57</v>
      </c>
      <c r="U342" s="3">
        <v>350.41</v>
      </c>
      <c r="V342" s="26">
        <v>-1.16617914484538</v>
      </c>
      <c r="W342" s="18">
        <v>-0.70086843391069198</v>
      </c>
      <c r="X342" s="18">
        <v>-0.56287013864509305</v>
      </c>
      <c r="Y342" s="18">
        <v>-1.67774505642474</v>
      </c>
      <c r="Z342" s="18">
        <v>-1.03791995090881</v>
      </c>
      <c r="AA342" s="18">
        <v>-0.76315438863934604</v>
      </c>
      <c r="AB342" s="18">
        <v>0.70169964644149796</v>
      </c>
      <c r="AC342" s="18">
        <v>-0.81334385097427597</v>
      </c>
      <c r="AD342" s="18">
        <v>2.4191393827547798</v>
      </c>
      <c r="AE342" s="21">
        <v>-0.35391117583651699</v>
      </c>
      <c r="AF342" s="3">
        <v>1.0756600000000001</v>
      </c>
      <c r="AG342" s="3">
        <v>4.2269000000000001E-2</v>
      </c>
      <c r="AH342" s="3">
        <v>2.0039799999999999</v>
      </c>
      <c r="AI342" s="3">
        <v>45.268900000000002</v>
      </c>
      <c r="AJ342" s="3">
        <v>0.28315600000000002</v>
      </c>
      <c r="AK342" s="3">
        <v>1.1576400000000001E-2</v>
      </c>
      <c r="AL342" s="3">
        <v>0</v>
      </c>
      <c r="AM342" s="3">
        <v>0.120685</v>
      </c>
      <c r="AN342" s="3">
        <v>-0.25755099999999997</v>
      </c>
      <c r="AO342" s="3">
        <v>12.871499999999999</v>
      </c>
      <c r="AP342" s="3">
        <v>0.114732</v>
      </c>
      <c r="AQ342" s="3">
        <v>1.11493</v>
      </c>
      <c r="AR342" s="3">
        <v>0</v>
      </c>
      <c r="AS342" s="3">
        <v>0.37277199999999999</v>
      </c>
      <c r="AT342" s="3">
        <v>0.63944000000000001</v>
      </c>
      <c r="AU342" s="3">
        <v>0.74749299999999996</v>
      </c>
      <c r="AV342" s="3">
        <v>0.19420699999999999</v>
      </c>
      <c r="AW342" s="3">
        <v>2.1950400000000001</v>
      </c>
      <c r="AX342" s="3">
        <v>7.3837700000000002</v>
      </c>
      <c r="AY342" s="3">
        <v>6.7724900000000005E-2</v>
      </c>
      <c r="AZ342" s="21">
        <v>2.2695699999999999</v>
      </c>
      <c r="BA342" s="3">
        <v>65.84</v>
      </c>
      <c r="BB342" s="3">
        <v>4</v>
      </c>
    </row>
    <row r="343" spans="1:54" s="3" customFormat="1" ht="173.25" customHeight="1" x14ac:dyDescent="0.25">
      <c r="A343" s="2">
        <v>341</v>
      </c>
      <c r="B343" s="3">
        <v>9</v>
      </c>
      <c r="C343" s="2">
        <v>1</v>
      </c>
      <c r="D343" s="9">
        <v>79</v>
      </c>
      <c r="E343" s="3" t="s">
        <v>53</v>
      </c>
      <c r="F343" s="3">
        <f t="shared" ref="F343:F350" si="46">IF(E343="Happy", 1,2)</f>
        <v>2</v>
      </c>
      <c r="G343" s="11"/>
      <c r="H343" s="3" t="s">
        <v>76</v>
      </c>
      <c r="I343" s="3">
        <f t="shared" si="43"/>
        <v>2</v>
      </c>
      <c r="J343" s="3" t="s">
        <v>81</v>
      </c>
      <c r="K343" s="3">
        <v>5</v>
      </c>
      <c r="L343" s="6" t="s">
        <v>227</v>
      </c>
      <c r="M343" s="3">
        <v>-67</v>
      </c>
      <c r="N343" s="3">
        <f t="shared" si="44"/>
        <v>-0.67</v>
      </c>
      <c r="O343" s="3">
        <v>-67</v>
      </c>
      <c r="P343" s="3">
        <v>-0.67</v>
      </c>
      <c r="Q343" s="17">
        <v>0.12878787878787881</v>
      </c>
      <c r="R343" s="21">
        <v>0.30888157647038172</v>
      </c>
      <c r="S343" s="3">
        <v>10</v>
      </c>
      <c r="T343" s="3">
        <v>353.74</v>
      </c>
      <c r="U343" s="3">
        <v>421.84</v>
      </c>
      <c r="V343" s="26">
        <v>1.4973430981931699</v>
      </c>
      <c r="W343" s="18">
        <v>-1.14181261055266</v>
      </c>
      <c r="X343" s="18">
        <v>0.73016303996940601</v>
      </c>
      <c r="Y343" s="18">
        <v>0.87321985043107098</v>
      </c>
      <c r="Z343" s="18">
        <v>2.1520245739698098</v>
      </c>
      <c r="AA343" s="18">
        <v>2.4466671289576798</v>
      </c>
      <c r="AB343" s="18">
        <v>0.29829913556721199</v>
      </c>
      <c r="AC343" s="18">
        <v>-0.34217198543742</v>
      </c>
      <c r="AD343" s="18">
        <v>-0.58653477952368405</v>
      </c>
      <c r="AE343" s="21">
        <v>1.35041731659855</v>
      </c>
      <c r="AF343" s="3">
        <v>0.42290699999999998</v>
      </c>
      <c r="AG343" s="3">
        <v>0.16166800000000001</v>
      </c>
      <c r="AH343" s="3">
        <v>2.3153700000000002</v>
      </c>
      <c r="AI343" s="3">
        <v>48.352400000000003</v>
      </c>
      <c r="AJ343" s="3">
        <v>5.0124799999999997E-2</v>
      </c>
      <c r="AK343" s="3">
        <v>-0.570824</v>
      </c>
      <c r="AL343" s="3">
        <v>0</v>
      </c>
      <c r="AM343" s="3">
        <v>0</v>
      </c>
      <c r="AN343" s="3">
        <v>-0.46752700000000003</v>
      </c>
      <c r="AO343" s="3">
        <v>7.0132199999999996</v>
      </c>
      <c r="AP343" s="3">
        <v>8.6120100000000005E-2</v>
      </c>
      <c r="AQ343" s="3">
        <v>0.91967399999999999</v>
      </c>
      <c r="AR343" s="3">
        <v>0.45815</v>
      </c>
      <c r="AS343" s="3">
        <v>0.108887</v>
      </c>
      <c r="AT343" s="3">
        <v>4.42563</v>
      </c>
      <c r="AU343" s="3">
        <v>1.53304</v>
      </c>
      <c r="AV343" s="3">
        <v>6.4309500000000006E-2</v>
      </c>
      <c r="AW343" s="3">
        <v>1.96879</v>
      </c>
      <c r="AX343" s="3">
        <v>0.52863400000000005</v>
      </c>
      <c r="AY343" s="3">
        <v>0.236293</v>
      </c>
      <c r="AZ343" s="21">
        <v>2.83908</v>
      </c>
      <c r="BA343" s="3">
        <v>68.105000000000004</v>
      </c>
      <c r="BB343" s="3">
        <v>5</v>
      </c>
    </row>
    <row r="344" spans="1:54" s="3" customFormat="1" ht="409.5" customHeight="1" x14ac:dyDescent="0.25">
      <c r="A344" s="2">
        <v>342</v>
      </c>
      <c r="B344" s="3">
        <v>9</v>
      </c>
      <c r="C344" s="2">
        <v>1</v>
      </c>
      <c r="D344" s="9">
        <v>79</v>
      </c>
      <c r="E344" s="3" t="s">
        <v>53</v>
      </c>
      <c r="F344" s="3">
        <f t="shared" si="46"/>
        <v>2</v>
      </c>
      <c r="G344" s="11" t="s">
        <v>84</v>
      </c>
      <c r="H344" s="3" t="s">
        <v>84</v>
      </c>
      <c r="I344" s="3">
        <f t="shared" si="43"/>
        <v>3</v>
      </c>
      <c r="J344" s="3" t="s">
        <v>85</v>
      </c>
      <c r="K344" s="3">
        <v>1</v>
      </c>
      <c r="L344" s="6" t="s">
        <v>259</v>
      </c>
      <c r="M344" s="3">
        <v>-66</v>
      </c>
      <c r="N344" s="3">
        <f t="shared" si="44"/>
        <v>-0.66</v>
      </c>
      <c r="O344" s="3">
        <v>-19</v>
      </c>
      <c r="P344" s="3">
        <v>-0.19</v>
      </c>
      <c r="Q344" s="17">
        <v>6.8993669690098264E-2</v>
      </c>
      <c r="R344" s="21">
        <v>0.26010886800061439</v>
      </c>
      <c r="S344" s="3">
        <v>2</v>
      </c>
      <c r="T344" s="3">
        <v>28.6</v>
      </c>
      <c r="U344" s="3">
        <v>274.35000000000002</v>
      </c>
      <c r="V344" s="26">
        <v>-0.74119577886960297</v>
      </c>
      <c r="W344" s="18">
        <v>-0.50843012220148398</v>
      </c>
      <c r="X344" s="18">
        <v>-0.73923231959223001</v>
      </c>
      <c r="Y344" s="18">
        <v>-0.81291443625432003</v>
      </c>
      <c r="Z344" s="18">
        <v>-0.422906742166965</v>
      </c>
      <c r="AA344" s="18">
        <v>-0.26634755990090397</v>
      </c>
      <c r="AB344" s="18">
        <v>-1.5138249863483599</v>
      </c>
      <c r="AC344" s="18">
        <v>-0.69100621331142098</v>
      </c>
      <c r="AD344" s="18">
        <v>0.66185100805328001</v>
      </c>
      <c r="AE344" s="21">
        <v>-0.40125363395971197</v>
      </c>
      <c r="AF344" s="3">
        <v>7.8131400000000004E-2</v>
      </c>
      <c r="AG344" s="3">
        <v>0.132577</v>
      </c>
      <c r="AH344" s="3">
        <v>2.4912100000000001</v>
      </c>
      <c r="AI344" s="3">
        <v>53.7348</v>
      </c>
      <c r="AJ344" s="3">
        <v>0.29508099999999998</v>
      </c>
      <c r="AK344" s="3">
        <v>0.217331</v>
      </c>
      <c r="AL344" s="3">
        <v>4.3948899999999999E-2</v>
      </c>
      <c r="AM344" s="3">
        <v>0.249004</v>
      </c>
      <c r="AN344" s="3">
        <v>4.9403699999999997</v>
      </c>
      <c r="AO344" s="3">
        <v>5.5570899999999996</v>
      </c>
      <c r="AP344" s="3">
        <v>0.202011</v>
      </c>
      <c r="AQ344" s="3">
        <v>1.91757</v>
      </c>
      <c r="AR344" s="3">
        <v>3.9065700000000002E-2</v>
      </c>
      <c r="AS344" s="3">
        <v>0.17610400000000001</v>
      </c>
      <c r="AT344" s="3">
        <v>2.96591</v>
      </c>
      <c r="AU344" s="3">
        <v>0.83502900000000002</v>
      </c>
      <c r="AV344" s="3">
        <v>0.18995000000000001</v>
      </c>
      <c r="AW344" s="3">
        <v>1.96373</v>
      </c>
      <c r="AX344" s="3">
        <v>1.45031</v>
      </c>
      <c r="AY344" s="3">
        <v>9.9883299999999994E-2</v>
      </c>
      <c r="AZ344" s="21">
        <v>1.0055000000000001</v>
      </c>
      <c r="BA344" s="3">
        <v>245.75</v>
      </c>
      <c r="BB344" s="3">
        <v>1</v>
      </c>
    </row>
    <row r="345" spans="1:54" s="3" customFormat="1" ht="110.25" customHeight="1" x14ac:dyDescent="0.25">
      <c r="A345" s="2">
        <v>343</v>
      </c>
      <c r="B345" s="3">
        <v>9</v>
      </c>
      <c r="C345" s="2">
        <v>1</v>
      </c>
      <c r="D345" s="9">
        <v>79</v>
      </c>
      <c r="E345" s="3" t="s">
        <v>53</v>
      </c>
      <c r="F345" s="3">
        <f t="shared" si="46"/>
        <v>2</v>
      </c>
      <c r="G345" s="11"/>
      <c r="H345" s="3" t="s">
        <v>84</v>
      </c>
      <c r="I345" s="3">
        <f t="shared" si="43"/>
        <v>3</v>
      </c>
      <c r="J345" s="3" t="s">
        <v>86</v>
      </c>
      <c r="K345" s="3">
        <v>2</v>
      </c>
      <c r="L345" s="6" t="s">
        <v>240</v>
      </c>
      <c r="M345" s="3">
        <v>-66</v>
      </c>
      <c r="N345" s="3">
        <f t="shared" si="44"/>
        <v>-0.66</v>
      </c>
      <c r="O345" s="3">
        <v>-19</v>
      </c>
      <c r="P345" s="3">
        <v>-0.19</v>
      </c>
      <c r="Q345" s="17">
        <v>7.2916666666666729E-3</v>
      </c>
      <c r="R345" s="21">
        <v>0.18440854214668759</v>
      </c>
      <c r="S345" s="3">
        <v>4</v>
      </c>
      <c r="T345" s="3">
        <v>282.2</v>
      </c>
      <c r="U345" s="3">
        <v>333.16</v>
      </c>
      <c r="V345" s="26">
        <v>-0.454304096868477</v>
      </c>
      <c r="W345" s="18">
        <v>2.2251077690141698E-2</v>
      </c>
      <c r="X345" s="18">
        <v>-0.58139244202224405</v>
      </c>
      <c r="Y345" s="18">
        <v>-0.43533320776026802</v>
      </c>
      <c r="Z345" s="18">
        <v>0.67542275645752203</v>
      </c>
      <c r="AA345" s="18">
        <v>0.36922043265122501</v>
      </c>
      <c r="AB345" s="18">
        <v>-1.4148321477314401</v>
      </c>
      <c r="AC345" s="18">
        <v>-1.6299107336877801</v>
      </c>
      <c r="AD345" s="18">
        <v>0.40418309800552599</v>
      </c>
      <c r="AE345" s="21">
        <v>-0.95095217550126898</v>
      </c>
      <c r="AF345" s="3">
        <v>0.68315700000000001</v>
      </c>
      <c r="AG345" s="3">
        <v>0.18353800000000001</v>
      </c>
      <c r="AH345" s="3">
        <v>2.8929299999999998</v>
      </c>
      <c r="AI345" s="3">
        <v>57.290900000000001</v>
      </c>
      <c r="AJ345" s="3">
        <v>0.34211999999999998</v>
      </c>
      <c r="AK345" s="3">
        <v>0.55973300000000004</v>
      </c>
      <c r="AL345" s="3">
        <v>0</v>
      </c>
      <c r="AM345" s="3">
        <v>4.7682499999999999E-3</v>
      </c>
      <c r="AN345" s="3">
        <v>-0.41977900000000001</v>
      </c>
      <c r="AO345" s="3">
        <v>5.1825700000000001</v>
      </c>
      <c r="AP345" s="3">
        <v>0.10782</v>
      </c>
      <c r="AQ345" s="3">
        <v>1.35605</v>
      </c>
      <c r="AR345" s="3">
        <v>0</v>
      </c>
      <c r="AS345" s="3">
        <v>9.08225E-2</v>
      </c>
      <c r="AT345" s="3">
        <v>-0.233574</v>
      </c>
      <c r="AU345" s="3">
        <v>0.16489999999999999</v>
      </c>
      <c r="AV345" s="3">
        <v>0.35484399999999999</v>
      </c>
      <c r="AW345" s="3">
        <v>2.7995399999999999</v>
      </c>
      <c r="AX345" s="3">
        <v>0</v>
      </c>
      <c r="AY345" s="3">
        <v>0</v>
      </c>
      <c r="AZ345" s="21">
        <v>-0.46742699999999998</v>
      </c>
      <c r="BA345" s="3">
        <v>50.96</v>
      </c>
      <c r="BB345" s="3">
        <v>2</v>
      </c>
    </row>
    <row r="346" spans="1:54" s="3" customFormat="1" ht="94.5" customHeight="1" x14ac:dyDescent="0.25">
      <c r="A346" s="2">
        <v>344</v>
      </c>
      <c r="B346" s="3">
        <v>9</v>
      </c>
      <c r="C346" s="2">
        <v>1</v>
      </c>
      <c r="D346" s="9">
        <v>79</v>
      </c>
      <c r="E346" s="3" t="s">
        <v>53</v>
      </c>
      <c r="F346" s="3">
        <f t="shared" si="46"/>
        <v>2</v>
      </c>
      <c r="G346" s="11"/>
      <c r="H346" s="3" t="s">
        <v>84</v>
      </c>
      <c r="I346" s="3">
        <f t="shared" si="43"/>
        <v>3</v>
      </c>
      <c r="J346" s="3" t="s">
        <v>87</v>
      </c>
      <c r="K346" s="3">
        <v>3</v>
      </c>
      <c r="L346" s="6" t="s">
        <v>165</v>
      </c>
      <c r="M346" s="3">
        <v>-66</v>
      </c>
      <c r="N346" s="3">
        <f t="shared" si="44"/>
        <v>-0.66</v>
      </c>
      <c r="O346" s="3">
        <v>-19</v>
      </c>
      <c r="P346" s="3">
        <v>-0.19</v>
      </c>
      <c r="Q346" s="17">
        <v>0.24979166666666669</v>
      </c>
      <c r="R346" s="21">
        <v>0.24100520107342999</v>
      </c>
      <c r="S346" s="3">
        <v>6</v>
      </c>
      <c r="T346" s="3">
        <v>338.66</v>
      </c>
      <c r="U346" s="3">
        <v>369.52</v>
      </c>
      <c r="V346" s="26">
        <v>-1.0808771707815099</v>
      </c>
      <c r="W346" s="18">
        <v>-0.73801047497516803</v>
      </c>
      <c r="X346" s="18">
        <v>-0.52285382167863004</v>
      </c>
      <c r="Y346" s="18">
        <v>-0.91248302885328103</v>
      </c>
      <c r="Z346" s="18">
        <v>-0.27054309902790802</v>
      </c>
      <c r="AA346" s="18">
        <v>-0.47125729093633201</v>
      </c>
      <c r="AB346" s="18">
        <v>0.280061495290999</v>
      </c>
      <c r="AC346" s="18">
        <v>3.71434755313714E-3</v>
      </c>
      <c r="AD346" s="18">
        <v>-1.3575069624129601</v>
      </c>
      <c r="AE346" s="21">
        <v>0.52455443600501495</v>
      </c>
      <c r="AF346" s="3">
        <v>0</v>
      </c>
      <c r="AG346" s="3">
        <v>0.35723500000000002</v>
      </c>
      <c r="AH346" s="3">
        <v>-7.6449799999999998E-2</v>
      </c>
      <c r="AI346" s="3">
        <v>45.953299999999999</v>
      </c>
      <c r="AJ346" s="3">
        <v>0.289271</v>
      </c>
      <c r="AK346" s="3">
        <v>0.43590299999999998</v>
      </c>
      <c r="AL346" s="3">
        <v>0</v>
      </c>
      <c r="AM346" s="3">
        <v>1.43261E-2</v>
      </c>
      <c r="AN346" s="3">
        <v>-0.40981600000000001</v>
      </c>
      <c r="AO346" s="3">
        <v>6.4591399999999997</v>
      </c>
      <c r="AP346" s="3">
        <v>2.5448399999999999E-2</v>
      </c>
      <c r="AQ346" s="3">
        <v>0.95941600000000005</v>
      </c>
      <c r="AR346" s="3">
        <v>0</v>
      </c>
      <c r="AS346" s="3">
        <v>4.1518800000000002E-2</v>
      </c>
      <c r="AT346" s="3">
        <v>-0.97633000000000003</v>
      </c>
      <c r="AU346" s="3">
        <v>0</v>
      </c>
      <c r="AV346" s="3">
        <v>0</v>
      </c>
      <c r="AW346" s="3">
        <v>-0.781308</v>
      </c>
      <c r="AX346" s="3">
        <v>0.58365800000000001</v>
      </c>
      <c r="AY346" s="3">
        <v>0.10322000000000001</v>
      </c>
      <c r="AZ346" s="21">
        <v>1.2594799999999999</v>
      </c>
      <c r="BA346" s="3">
        <v>30.86</v>
      </c>
      <c r="BB346" s="3">
        <v>3</v>
      </c>
    </row>
    <row r="347" spans="1:54" s="3" customFormat="1" ht="173.25" customHeight="1" x14ac:dyDescent="0.25">
      <c r="A347" s="2">
        <v>345</v>
      </c>
      <c r="B347" s="3">
        <v>9</v>
      </c>
      <c r="C347" s="2">
        <v>1</v>
      </c>
      <c r="D347" s="9">
        <v>79</v>
      </c>
      <c r="E347" s="3" t="s">
        <v>53</v>
      </c>
      <c r="F347" s="3">
        <f t="shared" si="46"/>
        <v>2</v>
      </c>
      <c r="G347" s="11"/>
      <c r="H347" s="3" t="s">
        <v>84</v>
      </c>
      <c r="I347" s="3">
        <f t="shared" si="43"/>
        <v>3</v>
      </c>
      <c r="J347" s="3" t="s">
        <v>88</v>
      </c>
      <c r="K347" s="3">
        <v>4</v>
      </c>
      <c r="L347" s="6" t="s">
        <v>234</v>
      </c>
      <c r="M347" s="3">
        <v>-66</v>
      </c>
      <c r="N347" s="3">
        <f t="shared" si="44"/>
        <v>-0.66</v>
      </c>
      <c r="O347" s="3">
        <v>-19</v>
      </c>
      <c r="P347" s="3">
        <v>-0.19</v>
      </c>
      <c r="Q347" s="17">
        <v>1.0416666666666469E-4</v>
      </c>
      <c r="R347" s="21">
        <v>0.20338428201469971</v>
      </c>
      <c r="S347" s="3">
        <v>8</v>
      </c>
      <c r="T347" s="3">
        <v>371.3</v>
      </c>
      <c r="U347" s="3">
        <v>481.99</v>
      </c>
      <c r="V347" s="26">
        <v>-1.35690105320238</v>
      </c>
      <c r="W347" s="18">
        <v>-0.83091621929733595</v>
      </c>
      <c r="X347" s="18">
        <v>-1.37509688827599</v>
      </c>
      <c r="Y347" s="18">
        <v>-1.89175715264487</v>
      </c>
      <c r="Z347" s="18">
        <v>-1.01725322662896</v>
      </c>
      <c r="AA347" s="18">
        <v>-0.87981472822538698</v>
      </c>
      <c r="AB347" s="18">
        <v>0.35092009177593098</v>
      </c>
      <c r="AC347" s="18">
        <v>-9.2583551972643494E-2</v>
      </c>
      <c r="AD347" s="18">
        <v>2.3720752047040099</v>
      </c>
      <c r="AE347" s="21">
        <v>0.93485573973938096</v>
      </c>
      <c r="AF347" s="3">
        <v>12.013</v>
      </c>
      <c r="AG347" s="3">
        <v>0.31736599999999998</v>
      </c>
      <c r="AH347" s="3">
        <v>3.55246</v>
      </c>
      <c r="AI347" s="3">
        <v>53.765799999999999</v>
      </c>
      <c r="AJ347" s="3">
        <v>0.29164099999999998</v>
      </c>
      <c r="AK347" s="3">
        <v>-0.135298</v>
      </c>
      <c r="AL347" s="3">
        <v>0</v>
      </c>
      <c r="AM347" s="3">
        <v>0.20029</v>
      </c>
      <c r="AN347" s="3">
        <v>0.14535500000000001</v>
      </c>
      <c r="AO347" s="3">
        <v>9.1615500000000001</v>
      </c>
      <c r="AP347" s="3">
        <v>0.100267</v>
      </c>
      <c r="AQ347" s="3">
        <v>1.13426</v>
      </c>
      <c r="AR347" s="3">
        <v>0.30357800000000001</v>
      </c>
      <c r="AS347" s="3">
        <v>0.391787</v>
      </c>
      <c r="AT347" s="3">
        <v>4.5586700000000002</v>
      </c>
      <c r="AU347" s="3">
        <v>2.9815700000000001</v>
      </c>
      <c r="AV347" s="3">
        <v>0.102258</v>
      </c>
      <c r="AW347" s="3">
        <v>1.6119399999999999</v>
      </c>
      <c r="AX347" s="3">
        <v>19.407299999999999</v>
      </c>
      <c r="AY347" s="3">
        <v>0.36061199999999999</v>
      </c>
      <c r="AZ347" s="21">
        <v>1.45834</v>
      </c>
      <c r="BA347" s="3">
        <v>110.69</v>
      </c>
      <c r="BB347" s="3">
        <v>4</v>
      </c>
    </row>
    <row r="348" spans="1:54" s="3" customFormat="1" ht="47.25" customHeight="1" x14ac:dyDescent="0.25">
      <c r="A348" s="2">
        <v>346</v>
      </c>
      <c r="B348" s="3">
        <v>10</v>
      </c>
      <c r="C348" s="2">
        <v>1</v>
      </c>
      <c r="D348" s="9">
        <v>86</v>
      </c>
      <c r="E348" s="3" t="s">
        <v>16</v>
      </c>
      <c r="F348" s="3">
        <f t="shared" si="46"/>
        <v>1</v>
      </c>
      <c r="G348" s="11" t="s">
        <v>17</v>
      </c>
      <c r="H348" s="3" t="s">
        <v>17</v>
      </c>
      <c r="I348" s="3">
        <f t="shared" si="43"/>
        <v>1</v>
      </c>
      <c r="J348" s="3" t="s">
        <v>18</v>
      </c>
      <c r="K348" s="3">
        <v>1</v>
      </c>
      <c r="L348" s="6" t="s">
        <v>146</v>
      </c>
      <c r="M348" s="3">
        <v>95</v>
      </c>
      <c r="N348" s="3">
        <f t="shared" si="44"/>
        <v>0.95</v>
      </c>
      <c r="O348" s="3">
        <v>91</v>
      </c>
      <c r="P348" s="3">
        <v>0.91</v>
      </c>
      <c r="Q348" s="17">
        <v>0.43888888888888877</v>
      </c>
      <c r="R348" s="21">
        <v>0.42629613540557498</v>
      </c>
      <c r="S348" s="3">
        <v>2</v>
      </c>
      <c r="T348" s="3">
        <v>21.54</v>
      </c>
      <c r="U348" s="3">
        <v>37.18</v>
      </c>
      <c r="V348" s="26">
        <v>-0.28020795998300702</v>
      </c>
      <c r="W348" s="18">
        <v>-0.13378294756044801</v>
      </c>
      <c r="X348" s="18">
        <v>1.87740088003765</v>
      </c>
      <c r="Y348" s="18">
        <v>-0.15116474423783099</v>
      </c>
      <c r="Z348" s="18">
        <v>-0.13603774241739</v>
      </c>
      <c r="AA348" s="18">
        <v>0.59444008402595505</v>
      </c>
      <c r="AB348" s="18">
        <v>0.88688916692965203</v>
      </c>
      <c r="AC348" s="18">
        <v>-0.74853792330441105</v>
      </c>
      <c r="AD348" s="18">
        <v>-1.2945853536701599</v>
      </c>
      <c r="AE348" s="21">
        <v>0.71633758234957801</v>
      </c>
      <c r="AF348" s="3">
        <v>0</v>
      </c>
      <c r="AG348" s="3">
        <v>5.3261999999999997E-2</v>
      </c>
      <c r="AH348" s="3">
        <v>-0.65128699999999995</v>
      </c>
      <c r="AI348" s="3">
        <v>0</v>
      </c>
      <c r="AJ348" s="3">
        <v>0.309778</v>
      </c>
      <c r="AK348" s="3">
        <v>-0.97022200000000003</v>
      </c>
      <c r="AL348" s="3">
        <v>0</v>
      </c>
      <c r="AM348" s="3">
        <v>6.1050199999999999E-2</v>
      </c>
      <c r="AN348" s="3">
        <v>-0.38479799999999997</v>
      </c>
      <c r="AO348" s="3">
        <v>49.692300000000003</v>
      </c>
      <c r="AP348" s="3">
        <v>0.11948300000000001</v>
      </c>
      <c r="AQ348" s="3">
        <v>0.58741699999999997</v>
      </c>
      <c r="AR348" s="3">
        <v>0</v>
      </c>
      <c r="AS348" s="3">
        <v>0.20100399999999999</v>
      </c>
      <c r="AT348" s="3">
        <v>1.4670399999999999</v>
      </c>
      <c r="AU348" s="3">
        <v>0</v>
      </c>
      <c r="AV348" s="3">
        <v>0.267069</v>
      </c>
      <c r="AW348" s="3">
        <v>-0.325378</v>
      </c>
      <c r="AX348" s="3">
        <v>0</v>
      </c>
      <c r="AY348" s="3">
        <v>0</v>
      </c>
      <c r="AZ348" s="21">
        <v>-0.47903899999999999</v>
      </c>
      <c r="BA348" s="3">
        <v>15.632999999999999</v>
      </c>
      <c r="BB348" s="3">
        <v>1</v>
      </c>
    </row>
    <row r="349" spans="1:54" s="3" customFormat="1" ht="78.75" customHeight="1" x14ac:dyDescent="0.25">
      <c r="A349" s="2">
        <v>347</v>
      </c>
      <c r="B349" s="3">
        <v>10</v>
      </c>
      <c r="C349" s="2">
        <v>1</v>
      </c>
      <c r="D349" s="9">
        <v>86</v>
      </c>
      <c r="E349" s="3" t="s">
        <v>16</v>
      </c>
      <c r="F349" s="3">
        <f t="shared" si="46"/>
        <v>1</v>
      </c>
      <c r="G349" s="11"/>
      <c r="H349" s="3" t="s">
        <v>17</v>
      </c>
      <c r="I349" s="3">
        <f t="shared" si="43"/>
        <v>1</v>
      </c>
      <c r="J349" s="3" t="s">
        <v>19</v>
      </c>
      <c r="K349" s="3">
        <v>2</v>
      </c>
      <c r="L349" s="6" t="s">
        <v>205</v>
      </c>
      <c r="M349" s="3">
        <v>95</v>
      </c>
      <c r="N349" s="3">
        <f t="shared" si="44"/>
        <v>0.95</v>
      </c>
      <c r="O349" s="3">
        <v>91</v>
      </c>
      <c r="P349" s="3">
        <v>0.91</v>
      </c>
      <c r="Q349" s="17">
        <v>0.39444444444444438</v>
      </c>
      <c r="R349" s="21">
        <v>0.32871804872193372</v>
      </c>
      <c r="S349" s="3">
        <v>4</v>
      </c>
      <c r="T349" s="3">
        <v>47.74</v>
      </c>
      <c r="U349" s="3">
        <v>92.34</v>
      </c>
      <c r="V349" s="26">
        <v>-0.45805539079621699</v>
      </c>
      <c r="W349" s="18">
        <v>0.38786999044465598</v>
      </c>
      <c r="X349" s="18">
        <v>0.465237198890113</v>
      </c>
      <c r="Y349" s="18">
        <v>-0.92385641297801702</v>
      </c>
      <c r="Z349" s="18">
        <v>0.96728769472105303</v>
      </c>
      <c r="AA349" s="18">
        <v>1.32671627349032</v>
      </c>
      <c r="AB349" s="18">
        <v>-0.90646543591905004</v>
      </c>
      <c r="AC349" s="18">
        <v>-7.9051518478665206E-2</v>
      </c>
      <c r="AD349" s="18">
        <v>-0.55334931884081096</v>
      </c>
      <c r="AE349" s="21">
        <v>1.0300177114054201</v>
      </c>
      <c r="AF349" s="3">
        <v>3.6877499999999999</v>
      </c>
      <c r="AG349" s="3">
        <v>0.110815</v>
      </c>
      <c r="AH349" s="3">
        <v>2.9607399999999999</v>
      </c>
      <c r="AI349" s="3">
        <v>18.358000000000001</v>
      </c>
      <c r="AJ349" s="3">
        <v>0.30237199999999997</v>
      </c>
      <c r="AK349" s="3">
        <v>1.11134</v>
      </c>
      <c r="AL349" s="3">
        <v>0</v>
      </c>
      <c r="AM349" s="3">
        <v>0</v>
      </c>
      <c r="AN349" s="3">
        <v>-0.50023700000000004</v>
      </c>
      <c r="AO349" s="3">
        <v>21.211300000000001</v>
      </c>
      <c r="AP349" s="3">
        <v>0.124482</v>
      </c>
      <c r="AQ349" s="3">
        <v>0.56886400000000004</v>
      </c>
      <c r="AR349" s="3">
        <v>0</v>
      </c>
      <c r="AS349" s="3">
        <v>5.1666900000000002E-2</v>
      </c>
      <c r="AT349" s="3">
        <v>-0.19552700000000001</v>
      </c>
      <c r="AU349" s="3">
        <v>0.88829100000000005</v>
      </c>
      <c r="AV349" s="3">
        <v>0.29320499999999999</v>
      </c>
      <c r="AW349" s="3">
        <v>3.39879</v>
      </c>
      <c r="AX349" s="3">
        <v>0.51144000000000001</v>
      </c>
      <c r="AY349" s="3">
        <v>7.1963799999999994E-2</v>
      </c>
      <c r="AZ349" s="21">
        <v>2.84937</v>
      </c>
      <c r="BA349" s="3">
        <v>44.598999999999997</v>
      </c>
      <c r="BB349" s="3">
        <v>2</v>
      </c>
    </row>
    <row r="350" spans="1:54" s="3" customFormat="1" ht="63" customHeight="1" x14ac:dyDescent="0.25">
      <c r="A350" s="2">
        <v>348</v>
      </c>
      <c r="B350" s="3">
        <v>10</v>
      </c>
      <c r="C350" s="2">
        <v>1</v>
      </c>
      <c r="D350" s="9">
        <v>86</v>
      </c>
      <c r="E350" s="3" t="s">
        <v>16</v>
      </c>
      <c r="F350" s="3">
        <f t="shared" si="46"/>
        <v>1</v>
      </c>
      <c r="G350" s="11"/>
      <c r="H350" s="3" t="s">
        <v>17</v>
      </c>
      <c r="I350" s="3">
        <f t="shared" si="43"/>
        <v>1</v>
      </c>
      <c r="J350" s="3" t="s">
        <v>20</v>
      </c>
      <c r="K350" s="3">
        <v>3</v>
      </c>
      <c r="L350" s="6" t="s">
        <v>144</v>
      </c>
      <c r="M350" s="3">
        <v>95</v>
      </c>
      <c r="N350" s="3">
        <f t="shared" si="44"/>
        <v>0.95</v>
      </c>
      <c r="O350" s="3">
        <v>91</v>
      </c>
      <c r="P350" s="3">
        <v>0.91</v>
      </c>
      <c r="Q350" s="17">
        <v>0.29541666666666672</v>
      </c>
      <c r="R350" s="21">
        <v>0.31878730718493509</v>
      </c>
      <c r="S350" s="3">
        <v>5</v>
      </c>
      <c r="T350" s="3">
        <v>92.34</v>
      </c>
      <c r="U350" s="3">
        <v>114.71</v>
      </c>
      <c r="V350" s="26">
        <v>-1.2103800023758</v>
      </c>
      <c r="W350" s="18">
        <v>-1.40186861561278</v>
      </c>
      <c r="X350" s="18">
        <v>-1.0144424234223399</v>
      </c>
      <c r="Y350" s="18">
        <v>-0.325845054762188</v>
      </c>
      <c r="Z350" s="18">
        <v>3.6407807459639301E-3</v>
      </c>
      <c r="AA350" s="18">
        <v>2.58087476186993E-2</v>
      </c>
      <c r="AB350" s="18">
        <v>-4.9013824004911798E-2</v>
      </c>
      <c r="AC350" s="18">
        <v>-1.0674067058090499</v>
      </c>
      <c r="AD350" s="18">
        <v>-0.41027986358882301</v>
      </c>
      <c r="AE350" s="21">
        <v>-0.264625730334142</v>
      </c>
      <c r="AF350" s="3">
        <v>5.0447199999999999</v>
      </c>
      <c r="AG350" s="3">
        <v>8.43801E-2</v>
      </c>
      <c r="AH350" s="3">
        <v>2.7162600000000001</v>
      </c>
      <c r="AI350" s="3">
        <v>41.4848</v>
      </c>
      <c r="AJ350" s="3">
        <v>0.13244900000000001</v>
      </c>
      <c r="AK350" s="3">
        <v>0.63457600000000003</v>
      </c>
      <c r="AL350" s="3">
        <v>0</v>
      </c>
      <c r="AM350" s="3">
        <v>0</v>
      </c>
      <c r="AN350" s="3">
        <v>-0.50023700000000004</v>
      </c>
      <c r="AO350" s="3">
        <v>19.695900000000002</v>
      </c>
      <c r="AP350" s="3">
        <v>0.12872900000000001</v>
      </c>
      <c r="AQ350" s="3">
        <v>0.65150200000000003</v>
      </c>
      <c r="AR350" s="3">
        <v>0</v>
      </c>
      <c r="AS350" s="3">
        <v>0.167958</v>
      </c>
      <c r="AT350" s="3">
        <v>8.0446699999999996E-2</v>
      </c>
      <c r="AU350" s="3">
        <v>0</v>
      </c>
      <c r="AV350" s="3">
        <v>0.255444</v>
      </c>
      <c r="AW350" s="3">
        <v>-0.12655</v>
      </c>
      <c r="AX350" s="3">
        <v>0</v>
      </c>
      <c r="AY350" s="3">
        <v>0.27403300000000003</v>
      </c>
      <c r="AZ350" s="21">
        <v>0.26480700000000001</v>
      </c>
      <c r="BA350" s="3">
        <v>22.373999999999999</v>
      </c>
      <c r="BB350" s="3">
        <v>3</v>
      </c>
    </row>
    <row r="351" spans="1:54" s="3" customFormat="1" ht="63" customHeight="1" x14ac:dyDescent="0.25">
      <c r="A351" s="2">
        <v>349</v>
      </c>
      <c r="B351" s="3">
        <v>10</v>
      </c>
      <c r="C351" s="2">
        <v>1</v>
      </c>
      <c r="D351" s="9">
        <v>86</v>
      </c>
      <c r="E351" s="3" t="s">
        <v>16</v>
      </c>
      <c r="F351" s="3">
        <f>IF(E352="Happy", 1,2)</f>
        <v>1</v>
      </c>
      <c r="G351" s="11"/>
      <c r="H351" s="3" t="s">
        <v>17</v>
      </c>
      <c r="I351" s="3">
        <f t="shared" si="43"/>
        <v>1</v>
      </c>
      <c r="J351" s="3" t="s">
        <v>21</v>
      </c>
      <c r="K351" s="3">
        <v>4</v>
      </c>
      <c r="L351" s="6" t="s">
        <v>156</v>
      </c>
      <c r="M351" s="3">
        <v>95</v>
      </c>
      <c r="N351" s="3">
        <f t="shared" si="44"/>
        <v>0.95</v>
      </c>
      <c r="O351" s="3">
        <v>91</v>
      </c>
      <c r="P351" s="3">
        <v>0.91</v>
      </c>
      <c r="Q351" s="17">
        <v>0.36833333333333329</v>
      </c>
      <c r="R351" s="21">
        <v>0.4145948490862964</v>
      </c>
      <c r="S351" s="3">
        <v>6</v>
      </c>
      <c r="T351" s="3">
        <v>114.71</v>
      </c>
      <c r="U351" s="3">
        <v>148.5</v>
      </c>
      <c r="V351" s="26">
        <v>-0.155981485472864</v>
      </c>
      <c r="W351" s="18">
        <v>-0.90734072484367001</v>
      </c>
      <c r="X351" s="18">
        <v>-1.04256767201935</v>
      </c>
      <c r="Y351" s="18">
        <v>0.19330238136848099</v>
      </c>
      <c r="Z351" s="18">
        <v>1.3106589544729299</v>
      </c>
      <c r="AA351" s="18">
        <v>1.73226936961885</v>
      </c>
      <c r="AB351" s="18">
        <v>-0.995289778693218</v>
      </c>
      <c r="AC351" s="18">
        <v>-0.88979725408207699</v>
      </c>
      <c r="AD351" s="18">
        <v>1.5673487778658</v>
      </c>
      <c r="AE351" s="21">
        <v>-0.86346961307711101</v>
      </c>
      <c r="AF351" s="3">
        <v>0.71048</v>
      </c>
      <c r="AG351" s="3">
        <v>0.24166099999999999</v>
      </c>
      <c r="AH351" s="3">
        <v>3.4496799999999999</v>
      </c>
      <c r="AI351" s="3">
        <v>27.886299999999999</v>
      </c>
      <c r="AJ351" s="3">
        <v>9.3220200000000003E-2</v>
      </c>
      <c r="AK351" s="3">
        <v>0.51297300000000001</v>
      </c>
      <c r="AL351" s="3">
        <v>0</v>
      </c>
      <c r="AM351" s="3">
        <v>0</v>
      </c>
      <c r="AN351" s="3">
        <v>-0.50023700000000004</v>
      </c>
      <c r="AO351" s="3">
        <v>25.008900000000001</v>
      </c>
      <c r="AP351" s="3">
        <v>8.5399000000000003E-2</v>
      </c>
      <c r="AQ351" s="3">
        <v>0.317108</v>
      </c>
      <c r="AR351" s="3">
        <v>0</v>
      </c>
      <c r="AS351" s="3">
        <v>0.11590499999999999</v>
      </c>
      <c r="AT351" s="3">
        <v>0.49984899999999999</v>
      </c>
      <c r="AU351" s="3">
        <v>0.248668</v>
      </c>
      <c r="AV351" s="3">
        <v>7.3355000000000004E-2</v>
      </c>
      <c r="AW351" s="3">
        <v>2.6824400000000002</v>
      </c>
      <c r="AX351" s="3">
        <v>0</v>
      </c>
      <c r="AY351" s="3">
        <v>1.82574E-2</v>
      </c>
      <c r="AZ351" s="21">
        <v>-0.45834399999999997</v>
      </c>
      <c r="BA351" s="3">
        <v>33.792999999999999</v>
      </c>
      <c r="BB351" s="3">
        <v>4</v>
      </c>
    </row>
    <row r="352" spans="1:54" s="3" customFormat="1" ht="63" customHeight="1" x14ac:dyDescent="0.25">
      <c r="A352" s="2">
        <v>350</v>
      </c>
      <c r="B352" s="3">
        <v>10</v>
      </c>
      <c r="C352" s="2">
        <v>1</v>
      </c>
      <c r="D352" s="9">
        <v>86</v>
      </c>
      <c r="E352" s="3" t="s">
        <v>16</v>
      </c>
      <c r="F352" s="3">
        <f>IF(E353="Happy", 1,2)</f>
        <v>1</v>
      </c>
      <c r="G352" s="11"/>
      <c r="H352" s="3" t="s">
        <v>17</v>
      </c>
      <c r="I352" s="3">
        <f t="shared" si="43"/>
        <v>1</v>
      </c>
      <c r="J352" s="3" t="s">
        <v>22</v>
      </c>
      <c r="K352" s="3">
        <v>5</v>
      </c>
      <c r="L352" s="6" t="s">
        <v>168</v>
      </c>
      <c r="M352" s="3">
        <v>95</v>
      </c>
      <c r="N352" s="3">
        <f t="shared" si="44"/>
        <v>0.95</v>
      </c>
      <c r="O352" s="3">
        <v>91</v>
      </c>
      <c r="P352" s="3">
        <v>0.91</v>
      </c>
      <c r="Q352" s="17">
        <v>-1.5740740740740739E-2</v>
      </c>
      <c r="R352" s="21">
        <v>0.33621746098315419</v>
      </c>
      <c r="S352" s="3">
        <v>7</v>
      </c>
      <c r="T352" s="3">
        <v>148.5</v>
      </c>
      <c r="U352" s="3">
        <v>189.31</v>
      </c>
      <c r="V352" s="26">
        <v>-1.32606459792708</v>
      </c>
      <c r="W352" s="18">
        <v>-1.11318649301849</v>
      </c>
      <c r="X352" s="18">
        <v>-0.82740536444142998</v>
      </c>
      <c r="Y352" s="18">
        <v>-1.9153572350713699</v>
      </c>
      <c r="Z352" s="18">
        <v>-0.15602685503865901</v>
      </c>
      <c r="AA352" s="18">
        <v>0.27033757479015802</v>
      </c>
      <c r="AB352" s="18">
        <v>0.16494023468152799</v>
      </c>
      <c r="AC352" s="18">
        <v>3.7360894181757302E-2</v>
      </c>
      <c r="AD352" s="18">
        <v>3.63190914546401</v>
      </c>
      <c r="AE352" s="21">
        <v>-0.238010446656677</v>
      </c>
      <c r="AF352" s="3">
        <v>0.17655699999999999</v>
      </c>
      <c r="AG352" s="3">
        <v>4.6332100000000001E-2</v>
      </c>
      <c r="AH352" s="3">
        <v>2.6008200000000001</v>
      </c>
      <c r="AI352" s="3">
        <v>7.7096600000000004</v>
      </c>
      <c r="AJ352" s="3">
        <v>0.22619900000000001</v>
      </c>
      <c r="AK352" s="3">
        <v>0.72193499999999999</v>
      </c>
      <c r="AL352" s="3">
        <v>0</v>
      </c>
      <c r="AM352" s="3">
        <v>0</v>
      </c>
      <c r="AN352" s="3">
        <v>-0.50023700000000004</v>
      </c>
      <c r="AO352" s="3">
        <v>29.014199999999999</v>
      </c>
      <c r="AP352" s="3">
        <v>0.16550200000000001</v>
      </c>
      <c r="AQ352" s="3">
        <v>0.62056199999999995</v>
      </c>
      <c r="AR352" s="3">
        <v>0</v>
      </c>
      <c r="AS352" s="3">
        <v>9.7349500000000005E-2</v>
      </c>
      <c r="AT352" s="3">
        <v>1.6716299999999999</v>
      </c>
      <c r="AU352" s="3">
        <v>1.2947500000000001</v>
      </c>
      <c r="AV352" s="3">
        <v>8.3375699999999997E-2</v>
      </c>
      <c r="AW352" s="3">
        <v>2.7760099999999999</v>
      </c>
      <c r="AX352" s="3">
        <v>0</v>
      </c>
      <c r="AY352" s="3">
        <v>0</v>
      </c>
      <c r="AZ352" s="21">
        <v>-0.47903899999999999</v>
      </c>
      <c r="BA352" s="3">
        <v>40.804000000000002</v>
      </c>
      <c r="BB352" s="3">
        <v>5</v>
      </c>
    </row>
    <row r="353" spans="1:54" s="3" customFormat="1" ht="78.75" customHeight="1" x14ac:dyDescent="0.25">
      <c r="A353" s="2">
        <v>351</v>
      </c>
      <c r="B353" s="3">
        <v>10</v>
      </c>
      <c r="C353" s="2">
        <v>1</v>
      </c>
      <c r="D353" s="9">
        <v>86</v>
      </c>
      <c r="E353" s="3" t="s">
        <v>16</v>
      </c>
      <c r="F353" s="3">
        <f t="shared" ref="F353:F360" si="47">IF(E353="Happy", 1,2)</f>
        <v>1</v>
      </c>
      <c r="G353" s="11"/>
      <c r="H353" s="3" t="s">
        <v>17</v>
      </c>
      <c r="I353" s="3">
        <f t="shared" si="43"/>
        <v>1</v>
      </c>
      <c r="J353" s="3" t="s">
        <v>23</v>
      </c>
      <c r="K353" s="3">
        <v>6</v>
      </c>
      <c r="L353" s="6" t="s">
        <v>149</v>
      </c>
      <c r="M353" s="3">
        <v>95</v>
      </c>
      <c r="N353" s="3">
        <f t="shared" si="44"/>
        <v>0.95</v>
      </c>
      <c r="O353" s="3">
        <v>91</v>
      </c>
      <c r="P353" s="3">
        <v>0.91</v>
      </c>
      <c r="Q353" s="17">
        <v>0.1083333333333333</v>
      </c>
      <c r="R353" s="21">
        <v>0.32735377472569421</v>
      </c>
      <c r="S353" s="3">
        <v>8</v>
      </c>
      <c r="T353" s="3">
        <v>189.31</v>
      </c>
      <c r="U353" s="3">
        <v>231.58</v>
      </c>
      <c r="V353" s="26">
        <v>-0.66338011740871605</v>
      </c>
      <c r="W353" s="18">
        <v>-0.26279156561722</v>
      </c>
      <c r="X353" s="18">
        <v>0.19044859705992001</v>
      </c>
      <c r="Y353" s="18">
        <v>0.33652450690595798</v>
      </c>
      <c r="Z353" s="18">
        <v>0.456277680654599</v>
      </c>
      <c r="AA353" s="18">
        <v>0.63481124448583404</v>
      </c>
      <c r="AB353" s="18">
        <v>-0.30983311983100897</v>
      </c>
      <c r="AC353" s="18">
        <v>0.19748547760399901</v>
      </c>
      <c r="AD353" s="18">
        <v>0.89914629352698905</v>
      </c>
      <c r="AE353" s="21">
        <v>-0.416713065633944</v>
      </c>
      <c r="AF353" s="3">
        <v>6.84335</v>
      </c>
      <c r="AG353" s="3">
        <v>0.433058</v>
      </c>
      <c r="AH353" s="3">
        <v>3.59599</v>
      </c>
      <c r="AI353" s="3">
        <v>18.9115</v>
      </c>
      <c r="AJ353" s="3">
        <v>8.7193699999999999E-2</v>
      </c>
      <c r="AK353" s="3">
        <v>0.35802400000000001</v>
      </c>
      <c r="AL353" s="3">
        <v>0</v>
      </c>
      <c r="AM353" s="3">
        <v>0</v>
      </c>
      <c r="AN353" s="3">
        <v>-0.50023700000000004</v>
      </c>
      <c r="AO353" s="3">
        <v>21.410299999999999</v>
      </c>
      <c r="AP353" s="3">
        <v>0.133884</v>
      </c>
      <c r="AQ353" s="3">
        <v>0.799458</v>
      </c>
      <c r="AR353" s="3">
        <v>0</v>
      </c>
      <c r="AS353" s="3">
        <v>0.118743</v>
      </c>
      <c r="AT353" s="3">
        <v>1.1878299999999999</v>
      </c>
      <c r="AU353" s="3">
        <v>0.42593500000000001</v>
      </c>
      <c r="AV353" s="3">
        <v>4.88438E-2</v>
      </c>
      <c r="AW353" s="3">
        <v>2.7239100000000001</v>
      </c>
      <c r="AX353" s="3">
        <v>0</v>
      </c>
      <c r="AY353" s="3">
        <v>0</v>
      </c>
      <c r="AZ353" s="21">
        <v>-0.47903899999999999</v>
      </c>
      <c r="BA353" s="3">
        <v>42.273000000000003</v>
      </c>
      <c r="BB353" s="3">
        <v>6</v>
      </c>
    </row>
    <row r="354" spans="1:54" s="3" customFormat="1" ht="78.75" customHeight="1" x14ac:dyDescent="0.25">
      <c r="A354" s="2">
        <v>352</v>
      </c>
      <c r="B354" s="3">
        <v>10</v>
      </c>
      <c r="C354" s="2">
        <v>1</v>
      </c>
      <c r="D354" s="9">
        <v>86</v>
      </c>
      <c r="E354" s="3" t="s">
        <v>16</v>
      </c>
      <c r="F354" s="3">
        <f t="shared" si="47"/>
        <v>1</v>
      </c>
      <c r="G354" s="11"/>
      <c r="H354" s="3" t="s">
        <v>17</v>
      </c>
      <c r="I354" s="3">
        <f t="shared" si="43"/>
        <v>1</v>
      </c>
      <c r="J354" s="3" t="s">
        <v>24</v>
      </c>
      <c r="K354" s="3">
        <v>7</v>
      </c>
      <c r="L354" s="6" t="s">
        <v>208</v>
      </c>
      <c r="M354" s="3">
        <v>95</v>
      </c>
      <c r="N354" s="3">
        <f t="shared" si="44"/>
        <v>0.95</v>
      </c>
      <c r="O354" s="3">
        <v>91</v>
      </c>
      <c r="P354" s="3">
        <v>0.91</v>
      </c>
      <c r="Q354" s="17">
        <v>0.27900000000000003</v>
      </c>
      <c r="R354" s="21">
        <v>0.33970230249585842</v>
      </c>
      <c r="S354" s="3">
        <v>10</v>
      </c>
      <c r="T354" s="3">
        <v>263.19</v>
      </c>
      <c r="U354" s="3">
        <v>317.10000000000002</v>
      </c>
      <c r="V354" s="26">
        <v>-0.60874515740988799</v>
      </c>
      <c r="W354" s="18">
        <v>1.3278413731529499</v>
      </c>
      <c r="X354" s="18">
        <v>-0.96977704795092801</v>
      </c>
      <c r="Y354" s="18">
        <v>-0.75533666368025598</v>
      </c>
      <c r="Z354" s="18">
        <v>0.75120906626290596</v>
      </c>
      <c r="AA354" s="18">
        <v>0.84683066349749603</v>
      </c>
      <c r="AB354" s="18">
        <v>-0.72250886700694805</v>
      </c>
      <c r="AC354" s="18">
        <v>-0.215709568123507</v>
      </c>
      <c r="AD354" s="18">
        <v>1.1435906770718101</v>
      </c>
      <c r="AE354" s="21">
        <v>-7.4516561209390195E-2</v>
      </c>
      <c r="AF354" s="3">
        <v>1.7142900000000001</v>
      </c>
      <c r="AG354" s="3">
        <v>5.26084E-2</v>
      </c>
      <c r="AH354" s="3">
        <v>2.8011499999999998</v>
      </c>
      <c r="AI354" s="3">
        <v>24.9573</v>
      </c>
      <c r="AJ354" s="3">
        <v>0.17468600000000001</v>
      </c>
      <c r="AK354" s="3">
        <v>0.79201299999999997</v>
      </c>
      <c r="AL354" s="3">
        <v>0</v>
      </c>
      <c r="AM354" s="3">
        <v>0</v>
      </c>
      <c r="AN354" s="3">
        <v>-0.50023700000000004</v>
      </c>
      <c r="AO354" s="3">
        <v>18.834900000000001</v>
      </c>
      <c r="AP354" s="3">
        <v>9.5164899999999997E-2</v>
      </c>
      <c r="AQ354" s="3">
        <v>0.32286100000000001</v>
      </c>
      <c r="AR354" s="3">
        <v>0</v>
      </c>
      <c r="AS354" s="3">
        <v>9.3419899999999997E-3</v>
      </c>
      <c r="AT354" s="3">
        <v>-0.56547400000000003</v>
      </c>
      <c r="AU354" s="3">
        <v>0.80148399999999997</v>
      </c>
      <c r="AV354" s="3">
        <v>0.12929499999999999</v>
      </c>
      <c r="AW354" s="3">
        <v>2.9516800000000001</v>
      </c>
      <c r="AX354" s="3">
        <v>0</v>
      </c>
      <c r="AY354" s="3">
        <v>7.1998699999999999E-2</v>
      </c>
      <c r="AZ354" s="21">
        <v>-0.32451799999999997</v>
      </c>
      <c r="BA354" s="3">
        <v>53.91</v>
      </c>
      <c r="BB354" s="3">
        <v>7</v>
      </c>
    </row>
    <row r="355" spans="1:54" s="3" customFormat="1" ht="94.5" customHeight="1" x14ac:dyDescent="0.25">
      <c r="A355" s="2">
        <v>353</v>
      </c>
      <c r="B355" s="3">
        <v>10</v>
      </c>
      <c r="C355" s="2">
        <v>1</v>
      </c>
      <c r="D355" s="9">
        <v>86</v>
      </c>
      <c r="E355" s="3" t="s">
        <v>16</v>
      </c>
      <c r="F355" s="3">
        <f t="shared" si="47"/>
        <v>1</v>
      </c>
      <c r="G355" s="11"/>
      <c r="H355" s="3" t="s">
        <v>17</v>
      </c>
      <c r="I355" s="3">
        <f t="shared" si="43"/>
        <v>1</v>
      </c>
      <c r="J355" s="3" t="s">
        <v>25</v>
      </c>
      <c r="K355" s="3">
        <v>8</v>
      </c>
      <c r="L355" s="6" t="s">
        <v>207</v>
      </c>
      <c r="M355" s="3">
        <v>95</v>
      </c>
      <c r="N355" s="3">
        <f t="shared" si="44"/>
        <v>0.95</v>
      </c>
      <c r="O355" s="3">
        <v>91</v>
      </c>
      <c r="P355" s="3">
        <v>0.91</v>
      </c>
      <c r="Q355" s="17">
        <v>5.1893939393939402E-2</v>
      </c>
      <c r="R355" s="21">
        <v>0.1300555922315802</v>
      </c>
      <c r="S355" s="3">
        <v>11</v>
      </c>
      <c r="T355" s="3">
        <v>317.10000000000002</v>
      </c>
      <c r="U355" s="3">
        <v>372.92</v>
      </c>
      <c r="V355" s="26">
        <v>1.1570210391872799</v>
      </c>
      <c r="W355" s="18">
        <v>0.408224066102014</v>
      </c>
      <c r="X355" s="18">
        <v>0.30236138438479199</v>
      </c>
      <c r="Y355" s="18">
        <v>0.33145624376918298</v>
      </c>
      <c r="Z355" s="18">
        <v>0.167723189870253</v>
      </c>
      <c r="AA355" s="18">
        <v>-0.45779525873226901</v>
      </c>
      <c r="AB355" s="18">
        <v>0.43197396374747898</v>
      </c>
      <c r="AC355" s="18">
        <v>2.4937435123135499E-2</v>
      </c>
      <c r="AD355" s="18">
        <v>-0.27484077928360801</v>
      </c>
      <c r="AE355" s="21">
        <v>1.1079624707465701</v>
      </c>
      <c r="AF355" s="3">
        <v>1.09677</v>
      </c>
      <c r="AG355" s="3">
        <v>0.14963199999999999</v>
      </c>
      <c r="AH355" s="3">
        <v>3.4390499999999999</v>
      </c>
      <c r="AI355" s="3">
        <v>39.698900000000002</v>
      </c>
      <c r="AJ355" s="3">
        <v>0.27914699999999998</v>
      </c>
      <c r="AK355" s="3">
        <v>0.99494899999999997</v>
      </c>
      <c r="AL355" s="3">
        <v>0</v>
      </c>
      <c r="AM355" s="3">
        <v>0</v>
      </c>
      <c r="AN355" s="3">
        <v>-0.50023700000000004</v>
      </c>
      <c r="AO355" s="3">
        <v>29.2043</v>
      </c>
      <c r="AP355" s="3">
        <v>0.285854</v>
      </c>
      <c r="AQ355" s="3">
        <v>0.82967800000000003</v>
      </c>
      <c r="AR355" s="3">
        <v>0</v>
      </c>
      <c r="AS355" s="3">
        <v>8.8452299999999998E-2</v>
      </c>
      <c r="AT355" s="3">
        <v>2.8012600000000001</v>
      </c>
      <c r="AU355" s="3">
        <v>1.6774199999999999</v>
      </c>
      <c r="AV355" s="3">
        <v>0.43514999999999998</v>
      </c>
      <c r="AW355" s="3">
        <v>3.3910399999999998</v>
      </c>
      <c r="AX355" s="3">
        <v>0</v>
      </c>
      <c r="AY355" s="3">
        <v>0</v>
      </c>
      <c r="AZ355" s="21">
        <v>-0.47903899999999999</v>
      </c>
      <c r="BA355" s="3">
        <v>55.820999999999998</v>
      </c>
      <c r="BB355" s="3">
        <v>8</v>
      </c>
    </row>
    <row r="356" spans="1:54" s="3" customFormat="1" ht="47.25" customHeight="1" x14ac:dyDescent="0.25">
      <c r="A356" s="2">
        <v>354</v>
      </c>
      <c r="B356" s="3">
        <v>10</v>
      </c>
      <c r="C356" s="2">
        <v>1</v>
      </c>
      <c r="D356" s="9">
        <v>86</v>
      </c>
      <c r="E356" s="3" t="s">
        <v>16</v>
      </c>
      <c r="F356" s="3">
        <f t="shared" si="47"/>
        <v>1</v>
      </c>
      <c r="G356" s="11" t="s">
        <v>26</v>
      </c>
      <c r="H356" s="3" t="s">
        <v>26</v>
      </c>
      <c r="I356" s="3">
        <f t="shared" si="43"/>
        <v>2</v>
      </c>
      <c r="J356" s="3" t="s">
        <v>27</v>
      </c>
      <c r="K356" s="3">
        <v>1</v>
      </c>
      <c r="L356" s="6" t="s">
        <v>159</v>
      </c>
      <c r="M356" s="3">
        <v>85</v>
      </c>
      <c r="N356" s="3">
        <f t="shared" si="44"/>
        <v>0.85</v>
      </c>
      <c r="O356" s="3">
        <v>1</v>
      </c>
      <c r="P356" s="3">
        <v>0.01</v>
      </c>
      <c r="Q356" s="17">
        <v>8.3333333333333329E-2</v>
      </c>
      <c r="R356" s="21">
        <v>0.18027756377319951</v>
      </c>
      <c r="S356" s="3">
        <v>2</v>
      </c>
      <c r="T356" s="3">
        <v>44.8</v>
      </c>
      <c r="U356" s="3">
        <v>65.27</v>
      </c>
      <c r="V356" s="26">
        <v>-7.0474521649804597E-2</v>
      </c>
      <c r="W356" s="18">
        <v>2.1444328938128501</v>
      </c>
      <c r="X356" s="18">
        <v>0.70392139544016497</v>
      </c>
      <c r="Y356" s="18">
        <v>-0.13285782825241299</v>
      </c>
      <c r="Z356" s="18">
        <v>0.78615935520193803</v>
      </c>
      <c r="AA356" s="18">
        <v>1.2902051625831801</v>
      </c>
      <c r="AB356" s="18">
        <v>2.1439335086726699</v>
      </c>
      <c r="AC356" s="18">
        <v>-0.459117340049844</v>
      </c>
      <c r="AD356" s="18">
        <v>0.83810332595280801</v>
      </c>
      <c r="AE356" s="21">
        <v>0.208746100786491</v>
      </c>
      <c r="AF356" s="3">
        <v>0.58650999999999998</v>
      </c>
      <c r="AG356" s="3">
        <v>0.112368</v>
      </c>
      <c r="AH356" s="3">
        <v>2.9607999999999999</v>
      </c>
      <c r="AI356" s="3">
        <v>13.1378</v>
      </c>
      <c r="AJ356" s="3">
        <v>1.9663799999999999E-2</v>
      </c>
      <c r="AK356" s="3">
        <v>0.301228</v>
      </c>
      <c r="AL356" s="3">
        <v>0</v>
      </c>
      <c r="AM356" s="3">
        <v>0</v>
      </c>
      <c r="AN356" s="3">
        <v>-0.50517000000000001</v>
      </c>
      <c r="AO356" s="3">
        <v>24.867999999999999</v>
      </c>
      <c r="AP356" s="3">
        <v>0.148093</v>
      </c>
      <c r="AQ356" s="3">
        <v>0.55301900000000004</v>
      </c>
      <c r="AR356" s="3">
        <v>0</v>
      </c>
      <c r="AS356" s="3">
        <v>0.15490799999999999</v>
      </c>
      <c r="AT356" s="3">
        <v>0.71210499999999999</v>
      </c>
      <c r="AU356" s="3">
        <v>0</v>
      </c>
      <c r="AV356" s="3">
        <v>0.13159999999999999</v>
      </c>
      <c r="AW356" s="3">
        <v>0.425506</v>
      </c>
      <c r="AX356" s="3">
        <v>0</v>
      </c>
      <c r="AY356" s="3">
        <v>0.15326799999999999</v>
      </c>
      <c r="AZ356" s="21">
        <v>-0.27848299999999998</v>
      </c>
      <c r="BA356" s="3">
        <v>20.472999999999999</v>
      </c>
      <c r="BB356" s="3">
        <v>1</v>
      </c>
    </row>
    <row r="357" spans="1:54" s="3" customFormat="1" ht="63" customHeight="1" x14ac:dyDescent="0.25">
      <c r="A357" s="2">
        <v>355</v>
      </c>
      <c r="B357" s="3">
        <v>10</v>
      </c>
      <c r="C357" s="2">
        <v>1</v>
      </c>
      <c r="D357" s="9">
        <v>86</v>
      </c>
      <c r="E357" s="3" t="s">
        <v>16</v>
      </c>
      <c r="F357" s="3">
        <f t="shared" si="47"/>
        <v>1</v>
      </c>
      <c r="G357" s="11"/>
      <c r="H357" s="3" t="s">
        <v>26</v>
      </c>
      <c r="I357" s="3">
        <f t="shared" si="43"/>
        <v>2</v>
      </c>
      <c r="J357" s="3" t="s">
        <v>28</v>
      </c>
      <c r="K357" s="3">
        <v>2</v>
      </c>
      <c r="L357" s="6" t="s">
        <v>148</v>
      </c>
      <c r="M357" s="3">
        <v>85</v>
      </c>
      <c r="N357" s="3">
        <f t="shared" si="44"/>
        <v>0.85</v>
      </c>
      <c r="O357" s="3">
        <v>1</v>
      </c>
      <c r="P357" s="3">
        <v>0.01</v>
      </c>
      <c r="Q357" s="17">
        <v>0.1380952380952381</v>
      </c>
      <c r="R357" s="21">
        <v>0.3125039682287733</v>
      </c>
      <c r="S357" s="3">
        <v>3</v>
      </c>
      <c r="T357" s="3">
        <v>65.27</v>
      </c>
      <c r="U357" s="3">
        <v>89.99</v>
      </c>
      <c r="V357" s="26">
        <v>1.0255642774551801</v>
      </c>
      <c r="W357" s="18">
        <v>-0.64897362089779598</v>
      </c>
      <c r="X357" s="18">
        <v>1.04155224970501</v>
      </c>
      <c r="Y357" s="18">
        <v>1.47124745453679</v>
      </c>
      <c r="Z357" s="18">
        <v>-0.70112872989476405</v>
      </c>
      <c r="AA357" s="18">
        <v>-0.283207696392618</v>
      </c>
      <c r="AB357" s="18">
        <v>0.78105690160430197</v>
      </c>
      <c r="AC357" s="18">
        <v>-1.43136804341535</v>
      </c>
      <c r="AD357" s="18">
        <v>0.14564716253318699</v>
      </c>
      <c r="AE357" s="21">
        <v>1.5585212015722301</v>
      </c>
      <c r="AF357" s="3">
        <v>0.87449399999999999</v>
      </c>
      <c r="AG357" s="3">
        <v>0.41824600000000001</v>
      </c>
      <c r="AH357" s="3">
        <v>4.4305500000000002</v>
      </c>
      <c r="AI357" s="3">
        <v>10.591100000000001</v>
      </c>
      <c r="AJ357" s="3">
        <v>0.134377</v>
      </c>
      <c r="AK357" s="3">
        <v>0.63708799999999999</v>
      </c>
      <c r="AL357" s="3">
        <v>0</v>
      </c>
      <c r="AM357" s="3">
        <v>7.3077500000000004E-2</v>
      </c>
      <c r="AN357" s="3">
        <v>-0.412323</v>
      </c>
      <c r="AO357" s="3">
        <v>25.311699999999998</v>
      </c>
      <c r="AP357" s="3">
        <v>0.165572</v>
      </c>
      <c r="AQ357" s="3">
        <v>0.36151499999999998</v>
      </c>
      <c r="AR357" s="3">
        <v>1.60324</v>
      </c>
      <c r="AS357" s="3">
        <v>0.108075</v>
      </c>
      <c r="AT357" s="3">
        <v>6.9289699999999996</v>
      </c>
      <c r="AU357" s="3">
        <v>3.6437200000000001</v>
      </c>
      <c r="AV357" s="3">
        <v>9.7626199999999996E-2</v>
      </c>
      <c r="AW357" s="3">
        <v>1.9791300000000001</v>
      </c>
      <c r="AX357" s="3">
        <v>0</v>
      </c>
      <c r="AY357" s="3">
        <v>0</v>
      </c>
      <c r="AZ357" s="21">
        <v>-0.42932399999999998</v>
      </c>
      <c r="BA357" s="3">
        <v>24.716000000000001</v>
      </c>
      <c r="BB357" s="3">
        <v>2</v>
      </c>
    </row>
    <row r="358" spans="1:54" s="3" customFormat="1" ht="141.75" customHeight="1" x14ac:dyDescent="0.25">
      <c r="A358" s="2">
        <v>356</v>
      </c>
      <c r="B358" s="3">
        <v>10</v>
      </c>
      <c r="C358" s="2">
        <v>1</v>
      </c>
      <c r="D358" s="9">
        <v>86</v>
      </c>
      <c r="E358" s="3" t="s">
        <v>16</v>
      </c>
      <c r="F358" s="3">
        <f t="shared" si="47"/>
        <v>1</v>
      </c>
      <c r="G358" s="11"/>
      <c r="H358" s="3" t="s">
        <v>26</v>
      </c>
      <c r="I358" s="3">
        <f t="shared" si="43"/>
        <v>2</v>
      </c>
      <c r="J358" s="3" t="s">
        <v>29</v>
      </c>
      <c r="K358" s="3">
        <v>3</v>
      </c>
      <c r="L358" s="6" t="s">
        <v>191</v>
      </c>
      <c r="M358" s="3">
        <v>85</v>
      </c>
      <c r="N358" s="3">
        <f t="shared" si="44"/>
        <v>0.85</v>
      </c>
      <c r="O358" s="3">
        <v>1</v>
      </c>
      <c r="P358" s="3">
        <v>0.01</v>
      </c>
      <c r="Q358" s="17">
        <v>4.8376623376623379E-2</v>
      </c>
      <c r="R358" s="21">
        <v>0.243692699368318</v>
      </c>
      <c r="S358" s="3">
        <v>4</v>
      </c>
      <c r="T358" s="3">
        <v>89.99</v>
      </c>
      <c r="U358" s="3">
        <v>163.61000000000001</v>
      </c>
      <c r="V358" s="26">
        <v>0.943970045284246</v>
      </c>
      <c r="W358" s="18">
        <v>0.60002366983178701</v>
      </c>
      <c r="X358" s="18">
        <v>-2.79680300305888E-2</v>
      </c>
      <c r="Y358" s="18">
        <v>0.50067506384443095</v>
      </c>
      <c r="Z358" s="18">
        <v>-0.49952074738330599</v>
      </c>
      <c r="AA358" s="18">
        <v>-0.85690313450668298</v>
      </c>
      <c r="AB358" s="18">
        <v>0.31674996096941599</v>
      </c>
      <c r="AC358" s="18">
        <v>1.0068508288675599</v>
      </c>
      <c r="AD358" s="18">
        <v>1.2525959763114201</v>
      </c>
      <c r="AE358" s="21">
        <v>-0.71518446115980505</v>
      </c>
      <c r="AF358" s="3">
        <v>0.782609</v>
      </c>
      <c r="AG358" s="3">
        <v>0.21474499999999999</v>
      </c>
      <c r="AH358" s="3">
        <v>3.3431899999999999</v>
      </c>
      <c r="AI358" s="3">
        <v>39.537999999999997</v>
      </c>
      <c r="AJ358" s="3">
        <v>5.5506300000000001E-2</v>
      </c>
      <c r="AK358" s="3">
        <v>0.38512099999999999</v>
      </c>
      <c r="AL358" s="3">
        <v>0</v>
      </c>
      <c r="AM358" s="3">
        <v>0</v>
      </c>
      <c r="AN358" s="3">
        <v>-0.50517000000000001</v>
      </c>
      <c r="AO358" s="3">
        <v>30.994599999999998</v>
      </c>
      <c r="AP358" s="3">
        <v>4.5325999999999998E-2</v>
      </c>
      <c r="AQ358" s="3">
        <v>6.7932199999999998E-2</v>
      </c>
      <c r="AR358" s="3">
        <v>0</v>
      </c>
      <c r="AS358" s="3">
        <v>4.2895200000000001E-2</v>
      </c>
      <c r="AT358" s="3">
        <v>-7.6286300000000001E-2</v>
      </c>
      <c r="AU358" s="3">
        <v>1.2228300000000001</v>
      </c>
      <c r="AV358" s="3">
        <v>0.111066</v>
      </c>
      <c r="AW358" s="3">
        <v>1.9918100000000001</v>
      </c>
      <c r="AX358" s="3">
        <v>0</v>
      </c>
      <c r="AY358" s="3">
        <v>0</v>
      </c>
      <c r="AZ358" s="21">
        <v>-0.42932399999999998</v>
      </c>
      <c r="BA358" s="3">
        <v>73.620999999999995</v>
      </c>
      <c r="BB358" s="3">
        <v>3</v>
      </c>
    </row>
    <row r="359" spans="1:54" s="3" customFormat="1" ht="63" customHeight="1" x14ac:dyDescent="0.25">
      <c r="A359" s="2">
        <v>357</v>
      </c>
      <c r="B359" s="3">
        <v>10</v>
      </c>
      <c r="C359" s="2">
        <v>1</v>
      </c>
      <c r="D359" s="9">
        <v>86</v>
      </c>
      <c r="E359" s="3" t="s">
        <v>16</v>
      </c>
      <c r="F359" s="3">
        <f t="shared" si="47"/>
        <v>1</v>
      </c>
      <c r="G359" s="11"/>
      <c r="H359" s="3" t="s">
        <v>26</v>
      </c>
      <c r="I359" s="3">
        <f t="shared" si="43"/>
        <v>2</v>
      </c>
      <c r="J359" s="3" t="s">
        <v>30</v>
      </c>
      <c r="K359" s="3">
        <v>4</v>
      </c>
      <c r="L359" s="6" t="s">
        <v>223</v>
      </c>
      <c r="M359" s="3">
        <v>85</v>
      </c>
      <c r="N359" s="3">
        <f t="shared" si="44"/>
        <v>0.85</v>
      </c>
      <c r="O359" s="3">
        <v>1</v>
      </c>
      <c r="P359" s="3">
        <v>0.01</v>
      </c>
      <c r="Q359" s="17">
        <v>0.16773437499999999</v>
      </c>
      <c r="R359" s="21">
        <v>0.2320536613689004</v>
      </c>
      <c r="S359" s="3">
        <v>5</v>
      </c>
      <c r="T359" s="3">
        <v>163.61000000000001</v>
      </c>
      <c r="U359" s="3">
        <v>191.1</v>
      </c>
      <c r="V359" s="26">
        <v>0.38809762797925101</v>
      </c>
      <c r="W359" s="18">
        <v>0.20505375782149199</v>
      </c>
      <c r="X359" s="18">
        <v>-2.4381245656202699E-2</v>
      </c>
      <c r="Y359" s="18">
        <v>0.228343304089974</v>
      </c>
      <c r="Z359" s="18">
        <v>1.86753355823481</v>
      </c>
      <c r="AA359" s="18">
        <v>2.4135504090286299</v>
      </c>
      <c r="AB359" s="18">
        <v>-0.42552437322861097</v>
      </c>
      <c r="AC359" s="18">
        <v>-1.13642592280139</v>
      </c>
      <c r="AD359" s="18">
        <v>-0.36695025714107798</v>
      </c>
      <c r="AE359" s="21">
        <v>0.168823175270292</v>
      </c>
      <c r="AF359" s="3">
        <v>15.382400000000001</v>
      </c>
      <c r="AG359" s="3">
        <v>0.14218900000000001</v>
      </c>
      <c r="AH359" s="3">
        <v>2.8574299999999999</v>
      </c>
      <c r="AI359" s="3">
        <v>31.420200000000001</v>
      </c>
      <c r="AJ359" s="3">
        <v>5.2023199999999999E-2</v>
      </c>
      <c r="AK359" s="3">
        <v>0.36632999999999999</v>
      </c>
      <c r="AL359" s="3">
        <v>0</v>
      </c>
      <c r="AM359" s="3">
        <v>0</v>
      </c>
      <c r="AN359" s="3">
        <v>-0.50517000000000001</v>
      </c>
      <c r="AO359" s="3">
        <v>15.9505</v>
      </c>
      <c r="AP359" s="3">
        <v>6.2056300000000002E-2</v>
      </c>
      <c r="AQ359" s="3">
        <v>0.147177</v>
      </c>
      <c r="AR359" s="3">
        <v>0</v>
      </c>
      <c r="AS359" s="3">
        <v>0</v>
      </c>
      <c r="AT359" s="3">
        <v>-0.59291099999999997</v>
      </c>
      <c r="AU359" s="3">
        <v>0.48069899999999999</v>
      </c>
      <c r="AV359" s="3">
        <v>6.2420900000000001E-2</v>
      </c>
      <c r="AW359" s="3">
        <v>1.8328899999999999</v>
      </c>
      <c r="AX359" s="3">
        <v>0</v>
      </c>
      <c r="AY359" s="3">
        <v>2.1105800000000001E-2</v>
      </c>
      <c r="AZ359" s="21">
        <v>-0.40685399999999999</v>
      </c>
      <c r="BA359" s="3">
        <v>27.492999999999999</v>
      </c>
      <c r="BB359" s="3">
        <v>4</v>
      </c>
    </row>
    <row r="360" spans="1:54" s="3" customFormat="1" ht="78.75" customHeight="1" x14ac:dyDescent="0.25">
      <c r="A360" s="2">
        <v>358</v>
      </c>
      <c r="B360" s="3">
        <v>10</v>
      </c>
      <c r="C360" s="2">
        <v>1</v>
      </c>
      <c r="D360" s="9">
        <v>86</v>
      </c>
      <c r="E360" s="3" t="s">
        <v>16</v>
      </c>
      <c r="F360" s="3">
        <f t="shared" si="47"/>
        <v>1</v>
      </c>
      <c r="G360" s="11"/>
      <c r="H360" s="3" t="s">
        <v>26</v>
      </c>
      <c r="I360" s="3">
        <f t="shared" si="43"/>
        <v>2</v>
      </c>
      <c r="J360" s="3" t="s">
        <v>31</v>
      </c>
      <c r="K360" s="3">
        <v>5</v>
      </c>
      <c r="L360" s="6" t="s">
        <v>168</v>
      </c>
      <c r="M360" s="3">
        <v>85</v>
      </c>
      <c r="N360" s="3">
        <f t="shared" si="44"/>
        <v>0.85</v>
      </c>
      <c r="O360" s="3">
        <v>1</v>
      </c>
      <c r="P360" s="3">
        <v>0.01</v>
      </c>
      <c r="Q360" s="17">
        <v>0.28174603174603169</v>
      </c>
      <c r="R360" s="21">
        <v>0.40977357570484091</v>
      </c>
      <c r="S360" s="3">
        <v>7</v>
      </c>
      <c r="T360" s="3">
        <v>207.66</v>
      </c>
      <c r="U360" s="3">
        <v>248.91</v>
      </c>
      <c r="V360" s="26">
        <v>0.157775505910356</v>
      </c>
      <c r="W360" s="18">
        <v>-0.63019395048592697</v>
      </c>
      <c r="X360" s="18">
        <v>-0.57593405782226503</v>
      </c>
      <c r="Y360" s="18">
        <v>0.92094767688439805</v>
      </c>
      <c r="Z360" s="18">
        <v>0.67395053281873496</v>
      </c>
      <c r="AA360" s="18">
        <v>0.53140441243070602</v>
      </c>
      <c r="AB360" s="18">
        <v>0.49523969763292103</v>
      </c>
      <c r="AC360" s="18">
        <v>-0.49868835779212201</v>
      </c>
      <c r="AD360" s="18">
        <v>-0.33942641908307702</v>
      </c>
      <c r="AE360" s="21">
        <v>-0.29314210570285498</v>
      </c>
      <c r="AF360" s="3">
        <v>1.95051</v>
      </c>
      <c r="AG360" s="3">
        <v>0.27983000000000002</v>
      </c>
      <c r="AH360" s="3">
        <v>4.1461399999999999</v>
      </c>
      <c r="AI360" s="3">
        <v>41.455599999999997</v>
      </c>
      <c r="AJ360" s="3">
        <v>0.25382700000000002</v>
      </c>
      <c r="AK360" s="3">
        <v>1.5597399999999999</v>
      </c>
      <c r="AL360" s="3">
        <v>0</v>
      </c>
      <c r="AM360" s="3">
        <v>1.4636199999999999E-3</v>
      </c>
      <c r="AN360" s="3">
        <v>-0.50431999999999999</v>
      </c>
      <c r="AO360" s="3">
        <v>24.978200000000001</v>
      </c>
      <c r="AP360" s="3">
        <v>7.2592299999999998E-2</v>
      </c>
      <c r="AQ360" s="3">
        <v>0.105709</v>
      </c>
      <c r="AR360" s="3">
        <v>0</v>
      </c>
      <c r="AS360" s="3">
        <v>4.3073899999999998E-2</v>
      </c>
      <c r="AT360" s="3">
        <v>-0.29524600000000001</v>
      </c>
      <c r="AU360" s="3">
        <v>0.81513800000000003</v>
      </c>
      <c r="AV360" s="3">
        <v>8.7722499999999995E-2</v>
      </c>
      <c r="AW360" s="3">
        <v>2.1557200000000001</v>
      </c>
      <c r="AX360" s="3">
        <v>0.96069899999999997</v>
      </c>
      <c r="AY360" s="3">
        <v>0.75575999999999999</v>
      </c>
      <c r="AZ360" s="21">
        <v>4.9614799999999999</v>
      </c>
      <c r="BA360" s="3">
        <v>41.244999999999997</v>
      </c>
      <c r="BB360" s="3">
        <v>5</v>
      </c>
    </row>
    <row r="361" spans="1:54" s="3" customFormat="1" ht="126" customHeight="1" x14ac:dyDescent="0.25">
      <c r="A361" s="2">
        <v>359</v>
      </c>
      <c r="B361" s="3">
        <v>10</v>
      </c>
      <c r="C361" s="2">
        <v>1</v>
      </c>
      <c r="D361" s="9">
        <v>86</v>
      </c>
      <c r="E361" s="3" t="s">
        <v>16</v>
      </c>
      <c r="F361" s="3">
        <f>IF(E362="Happy", 1,2)</f>
        <v>1</v>
      </c>
      <c r="G361" s="11"/>
      <c r="H361" s="3" t="s">
        <v>26</v>
      </c>
      <c r="I361" s="3">
        <f t="shared" si="43"/>
        <v>2</v>
      </c>
      <c r="J361" s="3" t="s">
        <v>32</v>
      </c>
      <c r="K361" s="3">
        <v>6</v>
      </c>
      <c r="L361" s="6" t="s">
        <v>219</v>
      </c>
      <c r="M361" s="3">
        <v>85</v>
      </c>
      <c r="N361" s="3">
        <f t="shared" si="44"/>
        <v>0.85</v>
      </c>
      <c r="O361" s="3">
        <v>1</v>
      </c>
      <c r="P361" s="3">
        <v>0.01</v>
      </c>
      <c r="Q361" s="17">
        <v>0.21812500000000001</v>
      </c>
      <c r="R361" s="21">
        <v>0.33996288511773709</v>
      </c>
      <c r="S361" s="3">
        <v>8</v>
      </c>
      <c r="T361" s="3">
        <v>248.91</v>
      </c>
      <c r="U361" s="3">
        <v>298.47000000000003</v>
      </c>
      <c r="V361" s="26">
        <v>0.42590233098428898</v>
      </c>
      <c r="W361" s="18">
        <v>0.206813387213509</v>
      </c>
      <c r="X361" s="18">
        <v>0.243681336277635</v>
      </c>
      <c r="Y361" s="18">
        <v>0.35732186253617298</v>
      </c>
      <c r="Z361" s="18">
        <v>1.0548473659577799</v>
      </c>
      <c r="AA361" s="18">
        <v>1.19717442703221</v>
      </c>
      <c r="AB361" s="18">
        <v>0.489399064888697</v>
      </c>
      <c r="AC361" s="18">
        <v>0.116502929666314</v>
      </c>
      <c r="AD361" s="18">
        <v>-0.76808975834284199</v>
      </c>
      <c r="AE361" s="21">
        <v>-1.1448311833817399</v>
      </c>
      <c r="AF361" s="3">
        <v>4.8203500000000004</v>
      </c>
      <c r="AG361" s="3">
        <v>0.12698400000000001</v>
      </c>
      <c r="AH361" s="3">
        <v>2.7615799999999999</v>
      </c>
      <c r="AI361" s="3">
        <v>21.873200000000001</v>
      </c>
      <c r="AJ361" s="3">
        <v>0.17027400000000001</v>
      </c>
      <c r="AK361" s="3">
        <v>0.77593800000000002</v>
      </c>
      <c r="AL361" s="3">
        <v>0</v>
      </c>
      <c r="AM361" s="3">
        <v>0</v>
      </c>
      <c r="AN361" s="3">
        <v>-0.50517000000000001</v>
      </c>
      <c r="AO361" s="3">
        <v>25.894200000000001</v>
      </c>
      <c r="AP361" s="3">
        <v>5.2819199999999997E-2</v>
      </c>
      <c r="AQ361" s="3">
        <v>0.185253</v>
      </c>
      <c r="AR361" s="3">
        <v>0</v>
      </c>
      <c r="AS361" s="3">
        <v>5.7723700000000003E-2</v>
      </c>
      <c r="AT361" s="3">
        <v>-0.33280500000000002</v>
      </c>
      <c r="AU361" s="3">
        <v>1.04158</v>
      </c>
      <c r="AV361" s="3">
        <v>7.9797499999999993E-2</v>
      </c>
      <c r="AW361" s="3">
        <v>2.08866</v>
      </c>
      <c r="AX361" s="3">
        <v>0</v>
      </c>
      <c r="AY361" s="3">
        <v>0.16123799999999999</v>
      </c>
      <c r="AZ361" s="21">
        <v>-0.23616000000000001</v>
      </c>
      <c r="BA361" s="3">
        <v>49.561999999999998</v>
      </c>
      <c r="BB361" s="3">
        <v>6</v>
      </c>
    </row>
    <row r="362" spans="1:54" s="3" customFormat="1" ht="63" customHeight="1" x14ac:dyDescent="0.25">
      <c r="A362" s="2">
        <v>360</v>
      </c>
      <c r="B362" s="3">
        <v>10</v>
      </c>
      <c r="C362" s="2">
        <v>1</v>
      </c>
      <c r="D362" s="9">
        <v>86</v>
      </c>
      <c r="E362" s="3" t="s">
        <v>16</v>
      </c>
      <c r="F362" s="3">
        <f>IF(E363="Happy", 1,2)</f>
        <v>1</v>
      </c>
      <c r="G362" s="11"/>
      <c r="H362" s="3" t="s">
        <v>26</v>
      </c>
      <c r="I362" s="3">
        <f t="shared" si="43"/>
        <v>2</v>
      </c>
      <c r="J362" s="3" t="s">
        <v>33</v>
      </c>
      <c r="K362" s="3">
        <v>7</v>
      </c>
      <c r="L362" s="6" t="s">
        <v>172</v>
      </c>
      <c r="M362" s="3">
        <v>85</v>
      </c>
      <c r="N362" s="3">
        <f t="shared" si="44"/>
        <v>0.85</v>
      </c>
      <c r="O362" s="3">
        <v>1</v>
      </c>
      <c r="P362" s="3">
        <v>0.01</v>
      </c>
      <c r="Q362" s="17">
        <v>2.777777777777778E-2</v>
      </c>
      <c r="R362" s="21">
        <v>0.26352313834736502</v>
      </c>
      <c r="S362" s="3">
        <v>9</v>
      </c>
      <c r="T362" s="3">
        <v>298.47000000000003</v>
      </c>
      <c r="U362" s="3">
        <v>327.51</v>
      </c>
      <c r="V362" s="26">
        <v>6.9204487441408793E-2</v>
      </c>
      <c r="W362" s="18">
        <v>-0.60988103575001995</v>
      </c>
      <c r="X362" s="18">
        <v>0.89736479656569801</v>
      </c>
      <c r="Y362" s="18">
        <v>-0.34100615224892</v>
      </c>
      <c r="Z362" s="18">
        <v>-0.20802307437251599</v>
      </c>
      <c r="AA362" s="18">
        <v>-0.17994251753208601</v>
      </c>
      <c r="AB362" s="18">
        <v>1.7303232602576499</v>
      </c>
      <c r="AC362" s="18">
        <v>9.3036395888916601E-2</v>
      </c>
      <c r="AD362" s="18">
        <v>0.215955580542735</v>
      </c>
      <c r="AE362" s="21">
        <v>1.8379816801856199</v>
      </c>
      <c r="AF362" s="3">
        <v>1.4059299999999999</v>
      </c>
      <c r="AG362" s="3">
        <v>0.31577100000000002</v>
      </c>
      <c r="AH362" s="3">
        <v>3.2299500000000001</v>
      </c>
      <c r="AI362" s="3">
        <v>42.963500000000003</v>
      </c>
      <c r="AJ362" s="3">
        <v>0.117425</v>
      </c>
      <c r="AK362" s="3">
        <v>0.73821000000000003</v>
      </c>
      <c r="AL362" s="3">
        <v>0</v>
      </c>
      <c r="AM362" s="3">
        <v>0</v>
      </c>
      <c r="AN362" s="3">
        <v>-0.50517000000000001</v>
      </c>
      <c r="AO362" s="3">
        <v>26.5886</v>
      </c>
      <c r="AP362" s="3">
        <v>0.38583699999999999</v>
      </c>
      <c r="AQ362" s="3">
        <v>1.3795200000000001</v>
      </c>
      <c r="AR362" s="3">
        <v>0</v>
      </c>
      <c r="AS362" s="3">
        <v>0.18379400000000001</v>
      </c>
      <c r="AT362" s="3">
        <v>2.6788799999999999</v>
      </c>
      <c r="AU362" s="3">
        <v>3.7215699999999998</v>
      </c>
      <c r="AV362" s="3">
        <v>0.19447500000000001</v>
      </c>
      <c r="AW362" s="3">
        <v>2.3365100000000001</v>
      </c>
      <c r="AX362" s="3">
        <v>0</v>
      </c>
      <c r="AY362" s="3">
        <v>0</v>
      </c>
      <c r="AZ362" s="21">
        <v>-0.42932399999999998</v>
      </c>
      <c r="BA362" s="3">
        <v>29.039000000000001</v>
      </c>
      <c r="BB362" s="3">
        <v>7</v>
      </c>
    </row>
    <row r="363" spans="1:54" s="3" customFormat="1" ht="94.5" customHeight="1" x14ac:dyDescent="0.25">
      <c r="A363" s="2">
        <v>361</v>
      </c>
      <c r="B363" s="3">
        <v>10</v>
      </c>
      <c r="C363" s="2">
        <v>1</v>
      </c>
      <c r="D363" s="9">
        <v>86</v>
      </c>
      <c r="E363" s="3" t="s">
        <v>16</v>
      </c>
      <c r="F363" s="3">
        <f t="shared" ref="F363:F370" si="48">IF(E363="Happy", 1,2)</f>
        <v>1</v>
      </c>
      <c r="G363" s="11"/>
      <c r="H363" s="3" t="s">
        <v>26</v>
      </c>
      <c r="I363" s="3">
        <f t="shared" si="43"/>
        <v>2</v>
      </c>
      <c r="J363" s="3" t="s">
        <v>34</v>
      </c>
      <c r="K363" s="3">
        <v>8</v>
      </c>
      <c r="L363" s="6" t="s">
        <v>170</v>
      </c>
      <c r="M363" s="3">
        <v>85</v>
      </c>
      <c r="N363" s="3">
        <f t="shared" si="44"/>
        <v>0.85</v>
      </c>
      <c r="O363" s="3">
        <v>1</v>
      </c>
      <c r="P363" s="3">
        <v>0.01</v>
      </c>
      <c r="Q363" s="17">
        <v>0.25712499999999999</v>
      </c>
      <c r="R363" s="21">
        <v>0.35042734327769948</v>
      </c>
      <c r="S363" s="3">
        <v>10</v>
      </c>
      <c r="T363" s="3">
        <v>327.51</v>
      </c>
      <c r="U363" s="3">
        <v>365.64</v>
      </c>
      <c r="V363" s="26">
        <v>1.74776636620305</v>
      </c>
      <c r="W363" s="18">
        <v>-0.80561150747833199</v>
      </c>
      <c r="X363" s="18">
        <v>-2.4342884325995899E-2</v>
      </c>
      <c r="Y363" s="18">
        <v>0.93964782018215298</v>
      </c>
      <c r="Z363" s="18">
        <v>0.81522327968807895</v>
      </c>
      <c r="AA363" s="18">
        <v>1.16346096671835</v>
      </c>
      <c r="AB363" s="18">
        <v>2.0520720368715</v>
      </c>
      <c r="AC363" s="18">
        <v>-0.6422483291362</v>
      </c>
      <c r="AD363" s="18">
        <v>0.40589731446775501</v>
      </c>
      <c r="AE363" s="21">
        <v>-1.3748632780226899</v>
      </c>
      <c r="AF363" s="3">
        <v>2.5826799999999999</v>
      </c>
      <c r="AG363" s="3">
        <v>0.39805400000000002</v>
      </c>
      <c r="AH363" s="3">
        <v>5.0991200000000001</v>
      </c>
      <c r="AI363" s="3">
        <v>8.6614199999999997</v>
      </c>
      <c r="AJ363" s="3">
        <v>0.146623</v>
      </c>
      <c r="AK363" s="3">
        <v>0.75731700000000002</v>
      </c>
      <c r="AL363" s="3">
        <v>0</v>
      </c>
      <c r="AM363" s="3">
        <v>0.12803500000000001</v>
      </c>
      <c r="AN363" s="3">
        <v>0.48193999999999998</v>
      </c>
      <c r="AO363" s="3">
        <v>37.322800000000001</v>
      </c>
      <c r="AP363" s="3">
        <v>0.46784300000000001</v>
      </c>
      <c r="AQ363" s="3">
        <v>1.32999</v>
      </c>
      <c r="AR363" s="3">
        <v>0</v>
      </c>
      <c r="AS363" s="3">
        <v>0.24037500000000001</v>
      </c>
      <c r="AT363" s="3">
        <v>1.4372</v>
      </c>
      <c r="AU363" s="3">
        <v>2.1732300000000002</v>
      </c>
      <c r="AV363" s="3">
        <v>0.15526300000000001</v>
      </c>
      <c r="AW363" s="3">
        <v>2.3086099999999998</v>
      </c>
      <c r="AX363" s="3">
        <v>7.6850399999999999</v>
      </c>
      <c r="AY363" s="3">
        <v>1.0698700000000001</v>
      </c>
      <c r="AZ363" s="21">
        <v>4.7086600000000001</v>
      </c>
      <c r="BA363" s="3">
        <v>38.125</v>
      </c>
      <c r="BB363" s="3">
        <v>8</v>
      </c>
    </row>
    <row r="364" spans="1:54" s="3" customFormat="1" ht="110.25" customHeight="1" x14ac:dyDescent="0.25">
      <c r="A364" s="2">
        <v>362</v>
      </c>
      <c r="B364" s="3">
        <v>10</v>
      </c>
      <c r="C364" s="2">
        <v>1</v>
      </c>
      <c r="D364" s="9">
        <v>86</v>
      </c>
      <c r="E364" s="3" t="s">
        <v>16</v>
      </c>
      <c r="F364" s="3">
        <f t="shared" si="48"/>
        <v>1</v>
      </c>
      <c r="G364" s="11"/>
      <c r="H364" s="3" t="s">
        <v>26</v>
      </c>
      <c r="I364" s="3">
        <f t="shared" si="43"/>
        <v>2</v>
      </c>
      <c r="J364" s="3" t="s">
        <v>35</v>
      </c>
      <c r="K364" s="3">
        <v>9</v>
      </c>
      <c r="L364" s="6" t="s">
        <v>143</v>
      </c>
      <c r="M364" s="3">
        <v>85</v>
      </c>
      <c r="N364" s="3">
        <f t="shared" si="44"/>
        <v>0.85</v>
      </c>
      <c r="O364" s="3">
        <v>1</v>
      </c>
      <c r="P364" s="3">
        <v>0.01</v>
      </c>
      <c r="Q364" s="17">
        <v>0.28291666666666659</v>
      </c>
      <c r="R364" s="21">
        <v>0.34677999616578342</v>
      </c>
      <c r="S364" s="3">
        <v>11</v>
      </c>
      <c r="T364" s="3">
        <v>365.64</v>
      </c>
      <c r="U364" s="3">
        <v>409.78</v>
      </c>
      <c r="V364" s="26">
        <v>0.28104308562124802</v>
      </c>
      <c r="W364" s="18">
        <v>-0.45713285624657202</v>
      </c>
      <c r="X364" s="18">
        <v>-0.123168064495131</v>
      </c>
      <c r="Y364" s="18">
        <v>-0.19420128897682401</v>
      </c>
      <c r="Z364" s="18">
        <v>0.83190131230459896</v>
      </c>
      <c r="AA364" s="18">
        <v>0.91273481228331499</v>
      </c>
      <c r="AB364" s="18">
        <v>0.221430834583669</v>
      </c>
      <c r="AC364" s="18">
        <v>-1.07614913996141</v>
      </c>
      <c r="AD364" s="18">
        <v>-0.33452118061729502</v>
      </c>
      <c r="AE364" s="21">
        <v>-0.19428533775798501</v>
      </c>
      <c r="AF364" s="3">
        <v>2.3118799999999999</v>
      </c>
      <c r="AG364" s="3">
        <v>0.271065</v>
      </c>
      <c r="AH364" s="3">
        <v>3.05348</v>
      </c>
      <c r="AI364" s="3">
        <v>43.680900000000001</v>
      </c>
      <c r="AJ364" s="3">
        <v>7.6811099999999993E-2</v>
      </c>
      <c r="AK364" s="3">
        <v>0.41594900000000001</v>
      </c>
      <c r="AL364" s="3">
        <v>0</v>
      </c>
      <c r="AM364" s="3">
        <v>0</v>
      </c>
      <c r="AN364" s="3">
        <v>-0.50517000000000001</v>
      </c>
      <c r="AO364" s="3">
        <v>27.660900000000002</v>
      </c>
      <c r="AP364" s="3">
        <v>9.8939399999999997E-2</v>
      </c>
      <c r="AQ364" s="3">
        <v>0.40370200000000001</v>
      </c>
      <c r="AR364" s="3">
        <v>0</v>
      </c>
      <c r="AS364" s="3">
        <v>6.0259300000000002E-2</v>
      </c>
      <c r="AT364" s="3">
        <v>-0.35926999999999998</v>
      </c>
      <c r="AU364" s="3">
        <v>0</v>
      </c>
      <c r="AV364" s="3">
        <v>0.17283699999999999</v>
      </c>
      <c r="AW364" s="3">
        <v>0.17946200000000001</v>
      </c>
      <c r="AX364" s="3">
        <v>0.51677200000000001</v>
      </c>
      <c r="AY364" s="3">
        <v>0.45639099999999999</v>
      </c>
      <c r="AZ364" s="21">
        <v>3.2852700000000001</v>
      </c>
      <c r="BA364" s="3">
        <v>44.142000000000003</v>
      </c>
      <c r="BB364" s="3">
        <v>9</v>
      </c>
    </row>
    <row r="365" spans="1:54" s="3" customFormat="1" ht="63" customHeight="1" x14ac:dyDescent="0.25">
      <c r="A365" s="2">
        <v>363</v>
      </c>
      <c r="B365" s="3">
        <v>10</v>
      </c>
      <c r="C365" s="2">
        <v>1</v>
      </c>
      <c r="D365" s="9">
        <v>86</v>
      </c>
      <c r="E365" s="3" t="s">
        <v>16</v>
      </c>
      <c r="F365" s="3">
        <f t="shared" si="48"/>
        <v>1</v>
      </c>
      <c r="G365" s="11" t="s">
        <v>38</v>
      </c>
      <c r="H365" s="3" t="s">
        <v>38</v>
      </c>
      <c r="I365" s="3">
        <f t="shared" si="43"/>
        <v>3</v>
      </c>
      <c r="J365" s="3" t="s">
        <v>39</v>
      </c>
      <c r="K365" s="3">
        <v>1</v>
      </c>
      <c r="L365" s="6" t="s">
        <v>158</v>
      </c>
      <c r="M365" s="3">
        <v>49</v>
      </c>
      <c r="N365" s="3">
        <f t="shared" si="44"/>
        <v>0.49</v>
      </c>
      <c r="O365" s="3">
        <v>1</v>
      </c>
      <c r="P365" s="3">
        <v>0.01</v>
      </c>
      <c r="Q365" s="17">
        <v>0.32261904761904758</v>
      </c>
      <c r="R365" s="21">
        <v>0.38159977233141301</v>
      </c>
      <c r="S365" s="3">
        <v>2</v>
      </c>
      <c r="T365" s="3">
        <v>17.28</v>
      </c>
      <c r="U365" s="3">
        <v>40.409999999999997</v>
      </c>
      <c r="V365" s="26">
        <v>-1.1027633492733999</v>
      </c>
      <c r="W365" s="18">
        <v>8.1326558325274295E-4</v>
      </c>
      <c r="X365" s="18">
        <v>-0.102478520403307</v>
      </c>
      <c r="Y365" s="18">
        <v>-0.81751027095293205</v>
      </c>
      <c r="Z365" s="18">
        <v>0.86513474494486797</v>
      </c>
      <c r="AA365" s="18">
        <v>1.34824755906892</v>
      </c>
      <c r="AB365" s="18">
        <v>0.117747922108191</v>
      </c>
      <c r="AC365" s="18">
        <v>0.88123585394149695</v>
      </c>
      <c r="AD365" s="18">
        <v>-0.62665538257944797</v>
      </c>
      <c r="AE365" s="21">
        <v>0.387448719763757</v>
      </c>
      <c r="AF365" s="3">
        <v>0</v>
      </c>
      <c r="AG365" s="3">
        <v>0.15001</v>
      </c>
      <c r="AH365" s="3">
        <v>-0.26671899999999998</v>
      </c>
      <c r="AI365" s="3">
        <v>0</v>
      </c>
      <c r="AJ365" s="3">
        <v>0.32729399999999997</v>
      </c>
      <c r="AK365" s="3">
        <v>-0.32328899999999999</v>
      </c>
      <c r="AL365" s="3">
        <v>0</v>
      </c>
      <c r="AM365" s="3">
        <v>8.1484299999999996E-2</v>
      </c>
      <c r="AN365" s="3">
        <v>-0.15559600000000001</v>
      </c>
      <c r="AO365" s="3">
        <v>21.3322</v>
      </c>
      <c r="AP365" s="3">
        <v>6.2289600000000001E-2</v>
      </c>
      <c r="AQ365" s="3">
        <v>0.267235</v>
      </c>
      <c r="AR365" s="3">
        <v>0</v>
      </c>
      <c r="AS365" s="3">
        <v>4.0824800000000003E-3</v>
      </c>
      <c r="AT365" s="3">
        <v>-0.66417499999999996</v>
      </c>
      <c r="AU365" s="3">
        <v>0.83045000000000002</v>
      </c>
      <c r="AV365" s="3">
        <v>7.20388E-2</v>
      </c>
      <c r="AW365" s="3">
        <v>1.6822299999999999</v>
      </c>
      <c r="AX365" s="3">
        <v>0</v>
      </c>
      <c r="AY365" s="3">
        <v>0</v>
      </c>
      <c r="AZ365" s="21">
        <v>-0.422099</v>
      </c>
      <c r="BA365" s="3">
        <v>23.138000000000002</v>
      </c>
      <c r="BB365" s="3">
        <v>1</v>
      </c>
    </row>
    <row r="366" spans="1:54" s="3" customFormat="1" ht="63" customHeight="1" x14ac:dyDescent="0.25">
      <c r="A366" s="2">
        <v>364</v>
      </c>
      <c r="B366" s="3">
        <v>10</v>
      </c>
      <c r="C366" s="2">
        <v>1</v>
      </c>
      <c r="D366" s="9">
        <v>86</v>
      </c>
      <c r="E366" s="3" t="s">
        <v>16</v>
      </c>
      <c r="F366" s="3">
        <f t="shared" si="48"/>
        <v>1</v>
      </c>
      <c r="G366" s="11"/>
      <c r="H366" s="3" t="s">
        <v>38</v>
      </c>
      <c r="I366" s="3">
        <f t="shared" si="43"/>
        <v>3</v>
      </c>
      <c r="J366" s="3" t="s">
        <v>40</v>
      </c>
      <c r="K366" s="3">
        <v>2</v>
      </c>
      <c r="L366" s="6" t="s">
        <v>158</v>
      </c>
      <c r="M366" s="3">
        <v>49</v>
      </c>
      <c r="N366" s="3">
        <f t="shared" si="44"/>
        <v>0.49</v>
      </c>
      <c r="O366" s="3">
        <v>1</v>
      </c>
      <c r="P366" s="3">
        <v>0.01</v>
      </c>
      <c r="Q366" s="17">
        <v>0.4291666666666667</v>
      </c>
      <c r="R366" s="21">
        <v>0.43015662522181652</v>
      </c>
      <c r="S366" s="3">
        <v>4</v>
      </c>
      <c r="T366" s="3">
        <v>56.8</v>
      </c>
      <c r="U366" s="3">
        <v>79.91</v>
      </c>
      <c r="V366" s="26">
        <v>0.83751067900854004</v>
      </c>
      <c r="W366" s="18">
        <v>2.8634009990221201</v>
      </c>
      <c r="X366" s="18">
        <v>1.4345001421288399</v>
      </c>
      <c r="Y366" s="18">
        <v>1.2072171602649899</v>
      </c>
      <c r="Z366" s="18">
        <v>-0.67181954022308699</v>
      </c>
      <c r="AA366" s="18">
        <v>-0.63521588496384096</v>
      </c>
      <c r="AB366" s="18">
        <v>0.714660588567954</v>
      </c>
      <c r="AC366" s="18">
        <v>2.86184600293935E-2</v>
      </c>
      <c r="AD366" s="18">
        <v>-1.0381503872089799</v>
      </c>
      <c r="AE366" s="21">
        <v>-0.42621852409018202</v>
      </c>
      <c r="AF366" s="3">
        <v>0</v>
      </c>
      <c r="AG366" s="3">
        <v>8.7671799999999994E-2</v>
      </c>
      <c r="AH366" s="3">
        <v>-0.48039500000000002</v>
      </c>
      <c r="AI366" s="3">
        <v>26.1525</v>
      </c>
      <c r="AJ366" s="3">
        <v>0.275509</v>
      </c>
      <c r="AK366" s="3">
        <v>2.06345</v>
      </c>
      <c r="AL366" s="3">
        <v>0</v>
      </c>
      <c r="AM366" s="3">
        <v>4.34919E-2</v>
      </c>
      <c r="AN366" s="3">
        <v>-0.39507700000000001</v>
      </c>
      <c r="AO366" s="3">
        <v>24.2288</v>
      </c>
      <c r="AP366" s="3">
        <v>0.124851</v>
      </c>
      <c r="AQ366" s="3">
        <v>0.19800999999999999</v>
      </c>
      <c r="AR366" s="3">
        <v>0</v>
      </c>
      <c r="AS366" s="3">
        <v>0</v>
      </c>
      <c r="AT366" s="3">
        <v>-0.66959900000000006</v>
      </c>
      <c r="AU366" s="3">
        <v>0</v>
      </c>
      <c r="AV366" s="3">
        <v>0.108666</v>
      </c>
      <c r="AW366" s="3">
        <v>-0.72772499999999996</v>
      </c>
      <c r="AX366" s="3">
        <v>0</v>
      </c>
      <c r="AY366" s="3">
        <v>0</v>
      </c>
      <c r="AZ366" s="21">
        <v>-0.422099</v>
      </c>
      <c r="BA366" s="3">
        <v>23.105</v>
      </c>
      <c r="BB366" s="3">
        <v>2</v>
      </c>
    </row>
    <row r="367" spans="1:54" s="3" customFormat="1" ht="141.75" customHeight="1" x14ac:dyDescent="0.25">
      <c r="A367" s="2">
        <v>365</v>
      </c>
      <c r="B367" s="3">
        <v>10</v>
      </c>
      <c r="C367" s="2">
        <v>1</v>
      </c>
      <c r="D367" s="9">
        <v>86</v>
      </c>
      <c r="E367" s="3" t="s">
        <v>16</v>
      </c>
      <c r="F367" s="3">
        <f t="shared" si="48"/>
        <v>1</v>
      </c>
      <c r="G367" s="11"/>
      <c r="H367" s="3" t="s">
        <v>38</v>
      </c>
      <c r="I367" s="3">
        <f t="shared" si="43"/>
        <v>3</v>
      </c>
      <c r="J367" s="3" t="s">
        <v>41</v>
      </c>
      <c r="K367" s="3">
        <v>3</v>
      </c>
      <c r="L367" s="6" t="s">
        <v>211</v>
      </c>
      <c r="M367" s="3">
        <v>49</v>
      </c>
      <c r="N367" s="3">
        <f t="shared" si="44"/>
        <v>0.49</v>
      </c>
      <c r="O367" s="3">
        <v>1</v>
      </c>
      <c r="P367" s="3">
        <v>0.01</v>
      </c>
      <c r="Q367" s="17">
        <v>-7.2249999999999995E-2</v>
      </c>
      <c r="R367" s="21">
        <v>0.19019160660297871</v>
      </c>
      <c r="S367" s="3">
        <v>5</v>
      </c>
      <c r="T367" s="3">
        <v>79.91</v>
      </c>
      <c r="U367" s="3">
        <v>140.43</v>
      </c>
      <c r="V367" s="26">
        <v>0.57003413891341403</v>
      </c>
      <c r="W367" s="18">
        <v>-0.26071293908396098</v>
      </c>
      <c r="X367" s="18">
        <v>0.742781422940198</v>
      </c>
      <c r="Y367" s="18">
        <v>1.4075009380147701</v>
      </c>
      <c r="Z367" s="18">
        <v>1.3554198508334401</v>
      </c>
      <c r="AA367" s="18">
        <v>0.652836613498183</v>
      </c>
      <c r="AB367" s="18">
        <v>0.54476826330394701</v>
      </c>
      <c r="AC367" s="18">
        <v>0.40454312858103297</v>
      </c>
      <c r="AD367" s="18">
        <v>-0.41709269479129901</v>
      </c>
      <c r="AE367" s="21">
        <v>-0.336867214601548</v>
      </c>
      <c r="AF367" s="3">
        <v>1.6066100000000001</v>
      </c>
      <c r="AG367" s="3">
        <v>0.109057</v>
      </c>
      <c r="AH367" s="3">
        <v>2.6414</v>
      </c>
      <c r="AI367" s="3">
        <v>8.9256200000000003</v>
      </c>
      <c r="AJ367" s="3">
        <v>0.15932099999999999</v>
      </c>
      <c r="AK367" s="3">
        <v>1.5916399999999999</v>
      </c>
      <c r="AL367" s="3">
        <v>0</v>
      </c>
      <c r="AM367" s="3">
        <v>0</v>
      </c>
      <c r="AN367" s="3">
        <v>-0.50016400000000005</v>
      </c>
      <c r="AO367" s="3">
        <v>32.231400000000001</v>
      </c>
      <c r="AP367" s="3">
        <v>0.28906700000000002</v>
      </c>
      <c r="AQ367" s="3">
        <v>0.81952800000000003</v>
      </c>
      <c r="AR367" s="3">
        <v>0</v>
      </c>
      <c r="AS367" s="3">
        <v>0.15603300000000001</v>
      </c>
      <c r="AT367" s="3">
        <v>-0.13495799999999999</v>
      </c>
      <c r="AU367" s="3">
        <v>2.1818200000000001</v>
      </c>
      <c r="AV367" s="3">
        <v>7.1883699999999995E-2</v>
      </c>
      <c r="AW367" s="3">
        <v>1.7761800000000001</v>
      </c>
      <c r="AX367" s="3">
        <v>0.35702499999999998</v>
      </c>
      <c r="AY367" s="3">
        <v>0.98446900000000004</v>
      </c>
      <c r="AZ367" s="21">
        <v>4.3989799999999999</v>
      </c>
      <c r="BA367" s="3">
        <v>60.52</v>
      </c>
      <c r="BB367" s="3">
        <v>3</v>
      </c>
    </row>
    <row r="368" spans="1:54" s="3" customFormat="1" ht="47.25" customHeight="1" x14ac:dyDescent="0.25">
      <c r="A368" s="2">
        <v>366</v>
      </c>
      <c r="B368" s="3">
        <v>10</v>
      </c>
      <c r="C368" s="2">
        <v>1</v>
      </c>
      <c r="D368" s="9">
        <v>86</v>
      </c>
      <c r="E368" s="3" t="s">
        <v>16</v>
      </c>
      <c r="F368" s="3">
        <f t="shared" si="48"/>
        <v>1</v>
      </c>
      <c r="G368" s="11"/>
      <c r="H368" s="3" t="s">
        <v>38</v>
      </c>
      <c r="I368" s="3">
        <f t="shared" si="43"/>
        <v>3</v>
      </c>
      <c r="J368" s="3" t="s">
        <v>42</v>
      </c>
      <c r="K368" s="3">
        <v>4</v>
      </c>
      <c r="L368" s="6" t="s">
        <v>151</v>
      </c>
      <c r="M368" s="3">
        <v>49</v>
      </c>
      <c r="N368" s="3">
        <f t="shared" si="44"/>
        <v>0.49</v>
      </c>
      <c r="O368" s="3">
        <v>1</v>
      </c>
      <c r="P368" s="3">
        <v>0.01</v>
      </c>
      <c r="Q368" s="17">
        <v>-0.1010416666666667</v>
      </c>
      <c r="R368" s="21">
        <v>0.47492366589371587</v>
      </c>
      <c r="S368" s="3">
        <v>6</v>
      </c>
      <c r="T368" s="3">
        <v>140.43</v>
      </c>
      <c r="U368" s="3">
        <v>158.38</v>
      </c>
      <c r="V368" s="26">
        <v>0.73551513335004703</v>
      </c>
      <c r="W368" s="18">
        <v>-0.115517788666712</v>
      </c>
      <c r="X368" s="18">
        <v>2.0312873561643801</v>
      </c>
      <c r="Y368" s="18">
        <v>1.98545770330147</v>
      </c>
      <c r="Z368" s="18">
        <v>-0.609031652725601</v>
      </c>
      <c r="AA368" s="18">
        <v>-0.72544896992153496</v>
      </c>
      <c r="AB368" s="18">
        <v>1.72097824786689</v>
      </c>
      <c r="AC368" s="18">
        <v>1.4709013457376899E-3</v>
      </c>
      <c r="AD368" s="18">
        <v>-0.59858651802524898</v>
      </c>
      <c r="AE368" s="21">
        <v>3.10791092993896</v>
      </c>
      <c r="AF368" s="3">
        <v>0.468227</v>
      </c>
      <c r="AG368" s="3">
        <v>0.285248</v>
      </c>
      <c r="AH368" s="3">
        <v>3.4747599999999998</v>
      </c>
      <c r="AI368" s="3">
        <v>14.046799999999999</v>
      </c>
      <c r="AJ368" s="3">
        <v>9.1396599999999995E-2</v>
      </c>
      <c r="AK368" s="3">
        <v>1.17384</v>
      </c>
      <c r="AL368" s="3">
        <v>0</v>
      </c>
      <c r="AM368" s="3">
        <v>2.4186800000000001E-2</v>
      </c>
      <c r="AN368" s="3">
        <v>-0.42176799999999998</v>
      </c>
      <c r="AO368" s="3">
        <v>31.6388</v>
      </c>
      <c r="AP368" s="3">
        <v>4.5765100000000003E-2</v>
      </c>
      <c r="AQ368" s="3">
        <v>-8.2038E-2</v>
      </c>
      <c r="AR368" s="3">
        <v>0</v>
      </c>
      <c r="AS368" s="3">
        <v>0</v>
      </c>
      <c r="AT368" s="3">
        <v>-0.66959900000000006</v>
      </c>
      <c r="AU368" s="3">
        <v>8.49498</v>
      </c>
      <c r="AV368" s="3">
        <v>7.4815300000000001E-2</v>
      </c>
      <c r="AW368" s="3">
        <v>1.78877</v>
      </c>
      <c r="AX368" s="3">
        <v>0</v>
      </c>
      <c r="AY368" s="3">
        <v>0.121186</v>
      </c>
      <c r="AZ368" s="21">
        <v>-0.201656</v>
      </c>
      <c r="BA368" s="3">
        <v>17.954999999999998</v>
      </c>
      <c r="BB368" s="3">
        <v>4</v>
      </c>
    </row>
    <row r="369" spans="1:54" s="3" customFormat="1" ht="141.75" customHeight="1" x14ac:dyDescent="0.25">
      <c r="A369" s="2">
        <v>367</v>
      </c>
      <c r="B369" s="3">
        <v>10</v>
      </c>
      <c r="C369" s="2">
        <v>1</v>
      </c>
      <c r="D369" s="9">
        <v>86</v>
      </c>
      <c r="E369" s="3" t="s">
        <v>16</v>
      </c>
      <c r="F369" s="3">
        <f t="shared" si="48"/>
        <v>1</v>
      </c>
      <c r="G369" s="11"/>
      <c r="H369" s="3" t="s">
        <v>38</v>
      </c>
      <c r="I369" s="3">
        <f t="shared" si="43"/>
        <v>3</v>
      </c>
      <c r="J369" s="3" t="s">
        <v>43</v>
      </c>
      <c r="K369" s="3">
        <v>5</v>
      </c>
      <c r="L369" s="6" t="s">
        <v>211</v>
      </c>
      <c r="M369" s="3">
        <v>49</v>
      </c>
      <c r="N369" s="3">
        <f t="shared" si="44"/>
        <v>0.49</v>
      </c>
      <c r="O369" s="3">
        <v>1</v>
      </c>
      <c r="P369" s="3">
        <v>0.01</v>
      </c>
      <c r="Q369" s="17">
        <v>7.7651515151515088E-3</v>
      </c>
      <c r="R369" s="21">
        <v>0.39956566144130851</v>
      </c>
      <c r="S369" s="3">
        <v>7</v>
      </c>
      <c r="T369" s="3">
        <v>158.38</v>
      </c>
      <c r="U369" s="3">
        <v>219.21</v>
      </c>
      <c r="V369" s="26">
        <v>-1.75038503255418E-2</v>
      </c>
      <c r="W369" s="18">
        <v>-1.14250335932173</v>
      </c>
      <c r="X369" s="18">
        <v>-0.309290845106098</v>
      </c>
      <c r="Y369" s="18">
        <v>6.0391549798921702E-2</v>
      </c>
      <c r="Z369" s="18">
        <v>0.185627548414457</v>
      </c>
      <c r="AA369" s="18">
        <v>-5.13922434361564E-2</v>
      </c>
      <c r="AB369" s="18">
        <v>0.12756018511848899</v>
      </c>
      <c r="AC369" s="18">
        <v>-0.45727682759671501</v>
      </c>
      <c r="AD369" s="18">
        <v>-0.25167715319519102</v>
      </c>
      <c r="AE369" s="21">
        <v>-0.67526153564360603</v>
      </c>
      <c r="AF369" s="3">
        <v>0</v>
      </c>
      <c r="AG369" s="3">
        <v>0.33797500000000003</v>
      </c>
      <c r="AH369" s="3">
        <v>-2.80697E-2</v>
      </c>
      <c r="AI369" s="3">
        <v>2.8026300000000002</v>
      </c>
      <c r="AJ369" s="3">
        <v>0.118784</v>
      </c>
      <c r="AK369" s="3">
        <v>1.1875</v>
      </c>
      <c r="AL369" s="3">
        <v>0</v>
      </c>
      <c r="AM369" s="3">
        <v>0</v>
      </c>
      <c r="AN369" s="3">
        <v>-0.50016400000000005</v>
      </c>
      <c r="AO369" s="3">
        <v>38.546100000000003</v>
      </c>
      <c r="AP369" s="3">
        <v>0.14732999999999999</v>
      </c>
      <c r="AQ369" s="3">
        <v>0.38012800000000002</v>
      </c>
      <c r="AR369" s="3">
        <v>0.47368399999999999</v>
      </c>
      <c r="AS369" s="3">
        <v>5.8558399999999997E-2</v>
      </c>
      <c r="AT369" s="3">
        <v>4.7953700000000001</v>
      </c>
      <c r="AU369" s="3">
        <v>15</v>
      </c>
      <c r="AV369" s="3">
        <v>0.38217499999999999</v>
      </c>
      <c r="AW369" s="3">
        <v>2.7145199999999998</v>
      </c>
      <c r="AX369" s="3">
        <v>0</v>
      </c>
      <c r="AY369" s="3">
        <v>9.2808600000000002E-3</v>
      </c>
      <c r="AZ369" s="21">
        <v>-0.419296</v>
      </c>
      <c r="BA369" s="3">
        <v>60.825000000000003</v>
      </c>
      <c r="BB369" s="3">
        <v>5</v>
      </c>
    </row>
    <row r="370" spans="1:54" s="3" customFormat="1" ht="31.5" customHeight="1" x14ac:dyDescent="0.25">
      <c r="A370" s="2">
        <v>368</v>
      </c>
      <c r="B370" s="3">
        <v>10</v>
      </c>
      <c r="C370" s="2">
        <v>1</v>
      </c>
      <c r="D370" s="9">
        <v>86</v>
      </c>
      <c r="E370" s="3" t="s">
        <v>16</v>
      </c>
      <c r="F370" s="3">
        <f t="shared" si="48"/>
        <v>1</v>
      </c>
      <c r="G370" s="11"/>
      <c r="H370" s="3" t="s">
        <v>38</v>
      </c>
      <c r="I370" s="3">
        <f t="shared" si="43"/>
        <v>3</v>
      </c>
      <c r="J370" s="3" t="s">
        <v>44</v>
      </c>
      <c r="K370" s="3">
        <v>6</v>
      </c>
      <c r="L370" s="6" t="s">
        <v>260</v>
      </c>
      <c r="M370" s="3">
        <v>49</v>
      </c>
      <c r="N370" s="3">
        <f t="shared" si="44"/>
        <v>0.49</v>
      </c>
      <c r="O370" s="3">
        <v>1</v>
      </c>
      <c r="P370" s="3">
        <v>0.01</v>
      </c>
      <c r="Q370" s="17">
        <v>0.34</v>
      </c>
      <c r="R370" s="21">
        <v>0</v>
      </c>
      <c r="S370" s="3">
        <v>8</v>
      </c>
      <c r="T370" s="3">
        <v>219.21</v>
      </c>
      <c r="U370" s="3">
        <v>228.32</v>
      </c>
      <c r="V370" s="26">
        <v>-2.4188519721380399</v>
      </c>
      <c r="W370" s="18">
        <v>-0.479411204981749</v>
      </c>
      <c r="X370" s="18">
        <v>-1.59087255822786</v>
      </c>
      <c r="Y370" s="18">
        <v>-2.6992777281749301</v>
      </c>
      <c r="Z370" s="18">
        <v>-1.2112803158118399</v>
      </c>
      <c r="AA370" s="18">
        <v>-1.0076221335569</v>
      </c>
      <c r="AB370" s="18">
        <v>-0.45117643224124598</v>
      </c>
      <c r="AC370" s="18">
        <v>2.4516531045739902</v>
      </c>
      <c r="AD370" s="18">
        <v>-1.18748764716724</v>
      </c>
      <c r="AE370" s="21">
        <v>0.89313910963559795</v>
      </c>
      <c r="AF370" s="3">
        <v>2.3736299999999999</v>
      </c>
      <c r="AG370" s="3">
        <v>0.27550999999999998</v>
      </c>
      <c r="AH370" s="3">
        <v>3.3019400000000001</v>
      </c>
      <c r="AI370" s="3">
        <v>0</v>
      </c>
      <c r="AJ370" s="3">
        <v>0.21229500000000001</v>
      </c>
      <c r="AK370" s="3">
        <v>-0.695322</v>
      </c>
      <c r="AL370" s="3">
        <v>0</v>
      </c>
      <c r="AM370" s="3">
        <v>0</v>
      </c>
      <c r="AN370" s="3">
        <v>-0.50016400000000005</v>
      </c>
      <c r="AO370" s="3">
        <v>5.8022</v>
      </c>
      <c r="AP370" s="3">
        <v>0.12720400000000001</v>
      </c>
      <c r="AQ370" s="3">
        <v>0.21329400000000001</v>
      </c>
      <c r="AR370" s="3">
        <v>0</v>
      </c>
      <c r="AS370" s="3">
        <v>0</v>
      </c>
      <c r="AT370" s="3">
        <v>-0.66959900000000006</v>
      </c>
      <c r="AU370" s="3">
        <v>0</v>
      </c>
      <c r="AV370" s="3">
        <v>0.132773</v>
      </c>
      <c r="AW370" s="3">
        <v>-0.68589199999999995</v>
      </c>
      <c r="AX370" s="3">
        <v>0</v>
      </c>
      <c r="AY370" s="3">
        <v>1.5735900000000001E-2</v>
      </c>
      <c r="AZ370" s="21">
        <v>-0.40848499999999999</v>
      </c>
      <c r="BA370" s="3">
        <v>9.1150000000000002</v>
      </c>
      <c r="BB370" s="3">
        <v>6</v>
      </c>
    </row>
    <row r="371" spans="1:54" s="3" customFormat="1" ht="94.5" customHeight="1" x14ac:dyDescent="0.25">
      <c r="A371" s="2">
        <v>369</v>
      </c>
      <c r="B371" s="3">
        <v>10</v>
      </c>
      <c r="C371" s="2">
        <v>1</v>
      </c>
      <c r="D371" s="9">
        <v>86</v>
      </c>
      <c r="E371" s="3" t="s">
        <v>16</v>
      </c>
      <c r="F371" s="3">
        <f>IF(E372="Happy", 1,2)</f>
        <v>1</v>
      </c>
      <c r="G371" s="11"/>
      <c r="H371" s="3" t="s">
        <v>38</v>
      </c>
      <c r="I371" s="3">
        <f t="shared" si="43"/>
        <v>3</v>
      </c>
      <c r="J371" s="3" t="s">
        <v>45</v>
      </c>
      <c r="K371" s="3">
        <v>7</v>
      </c>
      <c r="L371" s="6" t="s">
        <v>176</v>
      </c>
      <c r="M371" s="3">
        <v>49</v>
      </c>
      <c r="N371" s="3">
        <f t="shared" si="44"/>
        <v>0.49</v>
      </c>
      <c r="O371" s="3">
        <v>1</v>
      </c>
      <c r="P371" s="3">
        <v>0.01</v>
      </c>
      <c r="Q371" s="17">
        <v>0.22307692307692309</v>
      </c>
      <c r="R371" s="21">
        <v>0.26740682537364352</v>
      </c>
      <c r="S371" s="3">
        <v>9</v>
      </c>
      <c r="T371" s="3">
        <v>228.32</v>
      </c>
      <c r="U371" s="3">
        <v>265.70999999999998</v>
      </c>
      <c r="V371" s="26">
        <v>0.62406290105064299</v>
      </c>
      <c r="W371" s="18">
        <v>0.49248047231154202</v>
      </c>
      <c r="X371" s="18">
        <v>0.77956993860903501</v>
      </c>
      <c r="Y371" s="18">
        <v>0.35758401407772999</v>
      </c>
      <c r="Z371" s="18">
        <v>0.45922086288104302</v>
      </c>
      <c r="AA371" s="18">
        <v>-3.05309078024969E-3</v>
      </c>
      <c r="AB371" s="18">
        <v>-0.30660909055619601</v>
      </c>
      <c r="AC371" s="18">
        <v>0.95853737697292296</v>
      </c>
      <c r="AD371" s="18">
        <v>-0.157387569352928</v>
      </c>
      <c r="AE371" s="21">
        <v>-0.277933372172875</v>
      </c>
      <c r="AF371" s="3">
        <v>0.99571699999999996</v>
      </c>
      <c r="AG371" s="3">
        <v>0.41340900000000003</v>
      </c>
      <c r="AH371" s="3">
        <v>3.96949</v>
      </c>
      <c r="AI371" s="3">
        <v>25.246300000000002</v>
      </c>
      <c r="AJ371" s="3">
        <v>0.296537</v>
      </c>
      <c r="AK371" s="3">
        <v>1.9867600000000001</v>
      </c>
      <c r="AL371" s="3">
        <v>0</v>
      </c>
      <c r="AM371" s="3">
        <v>0</v>
      </c>
      <c r="AN371" s="3">
        <v>-0.50016400000000005</v>
      </c>
      <c r="AO371" s="3">
        <v>30.674499999999998</v>
      </c>
      <c r="AP371" s="3">
        <v>0.21601799999999999</v>
      </c>
      <c r="AQ371" s="3">
        <v>0.78164400000000001</v>
      </c>
      <c r="AR371" s="3">
        <v>0</v>
      </c>
      <c r="AS371" s="3">
        <v>0.14568999999999999</v>
      </c>
      <c r="AT371" s="3">
        <v>-0.32299299999999997</v>
      </c>
      <c r="AU371" s="3">
        <v>2.50535</v>
      </c>
      <c r="AV371" s="3">
        <v>0.154747</v>
      </c>
      <c r="AW371" s="3">
        <v>2.08813</v>
      </c>
      <c r="AX371" s="3">
        <v>0</v>
      </c>
      <c r="AY371" s="3">
        <v>0</v>
      </c>
      <c r="AZ371" s="21">
        <v>-0.422099</v>
      </c>
      <c r="BA371" s="3">
        <v>37.386000000000003</v>
      </c>
      <c r="BB371" s="3">
        <v>7</v>
      </c>
    </row>
    <row r="372" spans="1:54" s="3" customFormat="1" ht="94.5" customHeight="1" x14ac:dyDescent="0.25">
      <c r="A372" s="2">
        <v>370</v>
      </c>
      <c r="B372" s="3">
        <v>10</v>
      </c>
      <c r="C372" s="2">
        <v>1</v>
      </c>
      <c r="D372" s="9">
        <v>86</v>
      </c>
      <c r="E372" s="3" t="s">
        <v>16</v>
      </c>
      <c r="F372" s="3">
        <f>IF(E373="Happy", 1,2)</f>
        <v>1</v>
      </c>
      <c r="G372" s="11"/>
      <c r="H372" s="3" t="s">
        <v>38</v>
      </c>
      <c r="I372" s="3">
        <f t="shared" si="43"/>
        <v>3</v>
      </c>
      <c r="J372" s="3" t="s">
        <v>46</v>
      </c>
      <c r="K372" s="3">
        <v>8</v>
      </c>
      <c r="L372" s="6" t="s">
        <v>164</v>
      </c>
      <c r="M372" s="3">
        <v>49</v>
      </c>
      <c r="N372" s="3">
        <f t="shared" si="44"/>
        <v>0.49</v>
      </c>
      <c r="O372" s="3">
        <v>1</v>
      </c>
      <c r="P372" s="3">
        <v>0.01</v>
      </c>
      <c r="Q372" s="17">
        <v>0.12595238095238101</v>
      </c>
      <c r="R372" s="21">
        <v>0.22121687268810389</v>
      </c>
      <c r="S372" s="3">
        <v>10</v>
      </c>
      <c r="T372" s="3">
        <v>265.70999999999998</v>
      </c>
      <c r="U372" s="3">
        <v>298.8</v>
      </c>
      <c r="V372" s="26">
        <v>1.61927446310312</v>
      </c>
      <c r="W372" s="18">
        <v>0.83927152576382402</v>
      </c>
      <c r="X372" s="18">
        <v>1.1926639229467499</v>
      </c>
      <c r="Y372" s="18">
        <v>1.64924835125421</v>
      </c>
      <c r="Z372" s="18">
        <v>-1.15768987277199</v>
      </c>
      <c r="AA372" s="18">
        <v>-1.07210975039676</v>
      </c>
      <c r="AB372" s="18">
        <v>0.45206574038761299</v>
      </c>
      <c r="AC372" s="18">
        <v>1.3211183302393701</v>
      </c>
      <c r="AD372" s="18">
        <v>-0.39420158195097998</v>
      </c>
      <c r="AE372" s="21">
        <v>-0.76651393682348801</v>
      </c>
      <c r="AF372" s="3">
        <v>0</v>
      </c>
      <c r="AG372" s="3">
        <v>0.32033499999999998</v>
      </c>
      <c r="AH372" s="3">
        <v>-0.21367700000000001</v>
      </c>
      <c r="AI372" s="3">
        <v>6.2031400000000003</v>
      </c>
      <c r="AJ372" s="3">
        <v>0.113333</v>
      </c>
      <c r="AK372" s="3">
        <v>1.1313899999999999</v>
      </c>
      <c r="AL372" s="3">
        <v>0</v>
      </c>
      <c r="AM372" s="3">
        <v>0</v>
      </c>
      <c r="AN372" s="3">
        <v>-0.50016400000000005</v>
      </c>
      <c r="AO372" s="3">
        <v>28.004799999999999</v>
      </c>
      <c r="AP372" s="3">
        <v>7.6123399999999994E-2</v>
      </c>
      <c r="AQ372" s="3">
        <v>3.6484200000000001E-2</v>
      </c>
      <c r="AR372" s="3">
        <v>0</v>
      </c>
      <c r="AS372" s="3">
        <v>5.4509099999999998E-2</v>
      </c>
      <c r="AT372" s="3">
        <v>1.1783600000000001</v>
      </c>
      <c r="AU372" s="3">
        <v>3.7726700000000002</v>
      </c>
      <c r="AV372" s="3">
        <v>0.16153300000000001</v>
      </c>
      <c r="AW372" s="3">
        <v>1.8975900000000001</v>
      </c>
      <c r="AX372" s="3">
        <v>0</v>
      </c>
      <c r="AY372" s="3">
        <v>0.10961700000000001</v>
      </c>
      <c r="AZ372" s="21">
        <v>-3.4715099999999999E-2</v>
      </c>
      <c r="BA372" s="3">
        <v>33.091999999999999</v>
      </c>
      <c r="BB372" s="3">
        <v>8</v>
      </c>
    </row>
    <row r="373" spans="1:54" s="3" customFormat="1" ht="94.5" customHeight="1" x14ac:dyDescent="0.25">
      <c r="A373" s="2">
        <v>371</v>
      </c>
      <c r="B373" s="3">
        <v>10</v>
      </c>
      <c r="C373" s="2">
        <v>1</v>
      </c>
      <c r="D373" s="9">
        <v>86</v>
      </c>
      <c r="E373" s="3" t="s">
        <v>16</v>
      </c>
      <c r="F373" s="3">
        <f t="shared" ref="F373:F380" si="49">IF(E373="Happy", 1,2)</f>
        <v>1</v>
      </c>
      <c r="G373" s="11"/>
      <c r="H373" s="3" t="s">
        <v>38</v>
      </c>
      <c r="I373" s="3">
        <f t="shared" si="43"/>
        <v>3</v>
      </c>
      <c r="J373" s="3" t="s">
        <v>47</v>
      </c>
      <c r="K373" s="3">
        <v>9</v>
      </c>
      <c r="L373" s="6" t="s">
        <v>163</v>
      </c>
      <c r="M373" s="3">
        <v>49</v>
      </c>
      <c r="N373" s="3">
        <f t="shared" si="44"/>
        <v>0.49</v>
      </c>
      <c r="O373" s="3">
        <v>1</v>
      </c>
      <c r="P373" s="3">
        <v>0.01</v>
      </c>
      <c r="Q373" s="17">
        <v>0.15859375000000001</v>
      </c>
      <c r="R373" s="21">
        <v>0.2924658216278212</v>
      </c>
      <c r="S373" s="3">
        <v>11</v>
      </c>
      <c r="T373" s="3">
        <v>298.8</v>
      </c>
      <c r="U373" s="3">
        <v>334.84</v>
      </c>
      <c r="V373" s="26">
        <v>1.0638318951908901</v>
      </c>
      <c r="W373" s="18">
        <v>0.56223794394006998</v>
      </c>
      <c r="X373" s="18">
        <v>0.383681010869313</v>
      </c>
      <c r="Y373" s="18">
        <v>0.99273350734750898</v>
      </c>
      <c r="Z373" s="18">
        <v>0.41458259911329798</v>
      </c>
      <c r="AA373" s="18">
        <v>0.25220596588186101</v>
      </c>
      <c r="AB373" s="18">
        <v>-0.25549187277874302</v>
      </c>
      <c r="AC373" s="18">
        <v>2.8512856855854602E-3</v>
      </c>
      <c r="AD373" s="18">
        <v>-0.15711505610482901</v>
      </c>
      <c r="AE373" s="21">
        <v>-8.7824203048122398E-2</v>
      </c>
      <c r="AF373" s="3">
        <v>0.83287100000000003</v>
      </c>
      <c r="AG373" s="3">
        <v>0.21632199999999999</v>
      </c>
      <c r="AH373" s="3">
        <v>3.4253800000000001</v>
      </c>
      <c r="AI373" s="3">
        <v>7.5624700000000002</v>
      </c>
      <c r="AJ373" s="3">
        <v>0.125171</v>
      </c>
      <c r="AK373" s="3">
        <v>1.2588299999999999</v>
      </c>
      <c r="AL373" s="3">
        <v>0</v>
      </c>
      <c r="AM373" s="3">
        <v>0</v>
      </c>
      <c r="AN373" s="3">
        <v>-0.50016400000000005</v>
      </c>
      <c r="AO373" s="3">
        <v>45.974499999999999</v>
      </c>
      <c r="AP373" s="3">
        <v>5.5647700000000001E-2</v>
      </c>
      <c r="AQ373" s="3">
        <v>-0.15126300000000001</v>
      </c>
      <c r="AR373" s="3">
        <v>0</v>
      </c>
      <c r="AS373" s="3">
        <v>9.8319199999999992E-3</v>
      </c>
      <c r="AT373" s="3">
        <v>8.4410299999999994E-2</v>
      </c>
      <c r="AU373" s="3">
        <v>8.7951099999999993</v>
      </c>
      <c r="AV373" s="3">
        <v>8.4040900000000002E-2</v>
      </c>
      <c r="AW373" s="3">
        <v>1.85578</v>
      </c>
      <c r="AX373" s="3">
        <v>0</v>
      </c>
      <c r="AY373" s="3">
        <v>0</v>
      </c>
      <c r="AZ373" s="21">
        <v>-0.422099</v>
      </c>
      <c r="BA373" s="3">
        <v>36.04</v>
      </c>
      <c r="BB373" s="3">
        <v>9</v>
      </c>
    </row>
    <row r="374" spans="1:54" s="3" customFormat="1" ht="110.25" customHeight="1" x14ac:dyDescent="0.25">
      <c r="A374" s="2">
        <v>372</v>
      </c>
      <c r="B374" s="3">
        <v>10</v>
      </c>
      <c r="C374" s="2">
        <v>1</v>
      </c>
      <c r="D374" s="9">
        <v>86</v>
      </c>
      <c r="E374" s="3" t="s">
        <v>16</v>
      </c>
      <c r="F374" s="3">
        <f t="shared" si="49"/>
        <v>1</v>
      </c>
      <c r="G374" s="11"/>
      <c r="H374" s="3" t="s">
        <v>38</v>
      </c>
      <c r="I374" s="3">
        <f t="shared" si="43"/>
        <v>3</v>
      </c>
      <c r="J374" s="3" t="s">
        <v>48</v>
      </c>
      <c r="K374" s="3">
        <v>10</v>
      </c>
      <c r="L374" s="6" t="s">
        <v>168</v>
      </c>
      <c r="M374" s="3">
        <v>49</v>
      </c>
      <c r="N374" s="3">
        <f t="shared" si="44"/>
        <v>0.49</v>
      </c>
      <c r="O374" s="3">
        <v>1</v>
      </c>
      <c r="P374" s="3">
        <v>0.01</v>
      </c>
      <c r="Q374" s="17">
        <v>0.23890432098765441</v>
      </c>
      <c r="R374" s="21">
        <v>0.28926328274102209</v>
      </c>
      <c r="S374" s="3">
        <v>12</v>
      </c>
      <c r="T374" s="3">
        <v>334.84</v>
      </c>
      <c r="U374" s="3">
        <v>375.95</v>
      </c>
      <c r="V374" s="26">
        <v>-2.3102914210837301E-2</v>
      </c>
      <c r="W374" s="18">
        <v>7.9461496245126398E-2</v>
      </c>
      <c r="X374" s="18">
        <v>1.1571285440646799</v>
      </c>
      <c r="Y374" s="18">
        <v>-0.235796000237251</v>
      </c>
      <c r="Z374" s="18">
        <v>-0.59811735196920102</v>
      </c>
      <c r="AA374" s="18">
        <v>-0.47004826006482903</v>
      </c>
      <c r="AB374" s="18">
        <v>1.4493654627294701</v>
      </c>
      <c r="AC374" s="18">
        <v>2.4613157949529199</v>
      </c>
      <c r="AD374" s="18">
        <v>-0.29010152117715299</v>
      </c>
      <c r="AE374" s="21">
        <v>-0.73799756145477502</v>
      </c>
      <c r="AF374" s="3">
        <v>0.90554999999999997</v>
      </c>
      <c r="AG374" s="3">
        <v>0.113775</v>
      </c>
      <c r="AH374" s="3">
        <v>2.75996</v>
      </c>
      <c r="AI374" s="3">
        <v>15.043799999999999</v>
      </c>
      <c r="AJ374" s="3">
        <v>6.7048300000000005E-2</v>
      </c>
      <c r="AK374" s="3">
        <v>1.1744399999999999</v>
      </c>
      <c r="AL374" s="3">
        <v>0</v>
      </c>
      <c r="AM374" s="3">
        <v>0</v>
      </c>
      <c r="AN374" s="3">
        <v>-0.50016400000000005</v>
      </c>
      <c r="AO374" s="3">
        <v>42.298000000000002</v>
      </c>
      <c r="AP374" s="3">
        <v>0.27821600000000002</v>
      </c>
      <c r="AQ374" s="3">
        <v>1.1387799999999999</v>
      </c>
      <c r="AR374" s="3">
        <v>0.73028199999999999</v>
      </c>
      <c r="AS374" s="3">
        <v>5.9823800000000003E-2</v>
      </c>
      <c r="AT374" s="3">
        <v>4.6258299999999997</v>
      </c>
      <c r="AU374" s="3">
        <v>16.387499999999999</v>
      </c>
      <c r="AV374" s="3">
        <v>0.31035400000000002</v>
      </c>
      <c r="AW374" s="3">
        <v>2.3884300000000001</v>
      </c>
      <c r="AX374" s="3">
        <v>0</v>
      </c>
      <c r="AY374" s="3">
        <v>0.23855999999999999</v>
      </c>
      <c r="AZ374" s="21">
        <v>0.14788999999999999</v>
      </c>
      <c r="BA374" s="3">
        <v>41.11</v>
      </c>
      <c r="BB374" s="3">
        <v>10</v>
      </c>
    </row>
    <row r="375" spans="1:54" s="3" customFormat="1" ht="94.5" customHeight="1" x14ac:dyDescent="0.25">
      <c r="A375" s="2">
        <v>373</v>
      </c>
      <c r="B375" s="3">
        <v>10</v>
      </c>
      <c r="C375" s="2">
        <v>1</v>
      </c>
      <c r="D375" s="9">
        <v>86</v>
      </c>
      <c r="E375" s="3" t="s">
        <v>16</v>
      </c>
      <c r="F375" s="3">
        <f t="shared" si="49"/>
        <v>1</v>
      </c>
      <c r="G375" s="11"/>
      <c r="H375" s="3" t="s">
        <v>38</v>
      </c>
      <c r="I375" s="3">
        <f t="shared" si="43"/>
        <v>3</v>
      </c>
      <c r="J375" s="3" t="s">
        <v>49</v>
      </c>
      <c r="K375" s="3">
        <v>11</v>
      </c>
      <c r="L375" s="6" t="s">
        <v>219</v>
      </c>
      <c r="M375" s="3">
        <v>49</v>
      </c>
      <c r="N375" s="3">
        <f t="shared" si="44"/>
        <v>0.49</v>
      </c>
      <c r="O375" s="3">
        <v>1</v>
      </c>
      <c r="P375" s="3">
        <v>0.01</v>
      </c>
      <c r="Q375" s="17">
        <v>8.8636363636363638E-2</v>
      </c>
      <c r="R375" s="21">
        <v>0.22895513653433189</v>
      </c>
      <c r="S375" s="3">
        <v>13</v>
      </c>
      <c r="T375" s="3">
        <v>375.95</v>
      </c>
      <c r="U375" s="3">
        <v>426.08</v>
      </c>
      <c r="V375" s="26">
        <v>0.94387084927053</v>
      </c>
      <c r="W375" s="18">
        <v>2.2629557671300602</v>
      </c>
      <c r="X375" s="18">
        <v>0.74134926661245704</v>
      </c>
      <c r="Y375" s="18">
        <v>0.72249895992551105</v>
      </c>
      <c r="Z375" s="18">
        <v>-1.07736552450861</v>
      </c>
      <c r="AA375" s="18">
        <v>-0.89847834712063002</v>
      </c>
      <c r="AB375" s="18">
        <v>0.70554920148696498</v>
      </c>
      <c r="AC375" s="18">
        <v>-0.38963799494421802</v>
      </c>
      <c r="AD375" s="18">
        <v>0.113490599257502</v>
      </c>
      <c r="AE375" s="21">
        <v>-5.3604552605667599E-2</v>
      </c>
      <c r="AF375" s="3">
        <v>1.8914599999999999</v>
      </c>
      <c r="AG375" s="3">
        <v>0.13233500000000001</v>
      </c>
      <c r="AH375" s="3">
        <v>2.8915099999999998</v>
      </c>
      <c r="AI375" s="3">
        <v>16.233000000000001</v>
      </c>
      <c r="AJ375" s="3">
        <v>0.120337</v>
      </c>
      <c r="AK375" s="3">
        <v>1.1366000000000001</v>
      </c>
      <c r="AL375" s="3">
        <v>0</v>
      </c>
      <c r="AM375" s="3">
        <v>0</v>
      </c>
      <c r="AN375" s="3">
        <v>-0.50016400000000005</v>
      </c>
      <c r="AO375" s="3">
        <v>35.171599999999998</v>
      </c>
      <c r="AP375" s="3">
        <v>0.124824</v>
      </c>
      <c r="AQ375" s="3">
        <v>8.1136100000000003E-2</v>
      </c>
      <c r="AR375" s="3">
        <v>0</v>
      </c>
      <c r="AS375" s="3">
        <v>0.113704</v>
      </c>
      <c r="AT375" s="3">
        <v>1.88303</v>
      </c>
      <c r="AU375" s="3">
        <v>4.7166800000000002</v>
      </c>
      <c r="AV375" s="3">
        <v>0.134686</v>
      </c>
      <c r="AW375" s="3">
        <v>2.1322000000000001</v>
      </c>
      <c r="AX375" s="3">
        <v>0</v>
      </c>
      <c r="AY375" s="3">
        <v>0</v>
      </c>
      <c r="AZ375" s="21">
        <v>-0.422099</v>
      </c>
      <c r="BA375" s="3">
        <v>50.131999999999998</v>
      </c>
      <c r="BB375" s="3">
        <v>11</v>
      </c>
    </row>
    <row r="376" spans="1:54" s="3" customFormat="1" ht="63" customHeight="1" x14ac:dyDescent="0.25">
      <c r="A376" s="2">
        <v>374</v>
      </c>
      <c r="B376" s="3">
        <v>10</v>
      </c>
      <c r="C376" s="2">
        <v>1</v>
      </c>
      <c r="D376" s="9">
        <v>86</v>
      </c>
      <c r="E376" s="3" t="s">
        <v>16</v>
      </c>
      <c r="F376" s="3">
        <f t="shared" si="49"/>
        <v>1</v>
      </c>
      <c r="G376" s="11"/>
      <c r="H376" s="3" t="s">
        <v>38</v>
      </c>
      <c r="I376" s="3">
        <f t="shared" si="43"/>
        <v>3</v>
      </c>
      <c r="J376" s="3" t="s">
        <v>50</v>
      </c>
      <c r="K376" s="3">
        <v>12</v>
      </c>
      <c r="L376" s="6" t="s">
        <v>153</v>
      </c>
      <c r="M376" s="3">
        <v>49</v>
      </c>
      <c r="N376" s="3">
        <f t="shared" si="44"/>
        <v>0.49</v>
      </c>
      <c r="O376" s="3">
        <v>1</v>
      </c>
      <c r="P376" s="3">
        <v>0.01</v>
      </c>
      <c r="Q376" s="17">
        <v>0.32288888888888889</v>
      </c>
      <c r="R376" s="21">
        <v>0.34108903294456971</v>
      </c>
      <c r="S376" s="3">
        <v>14</v>
      </c>
      <c r="T376" s="3">
        <v>426.08</v>
      </c>
      <c r="U376" s="3">
        <v>452.08</v>
      </c>
      <c r="V376" s="26">
        <v>0.84902843837887998</v>
      </c>
      <c r="W376" s="18">
        <v>-0.22381217300343201</v>
      </c>
      <c r="X376" s="18">
        <v>1.03645658634247</v>
      </c>
      <c r="Y376" s="18">
        <v>0.67312708626555096</v>
      </c>
      <c r="Z376" s="18">
        <v>1.5327465799767299</v>
      </c>
      <c r="AA376" s="18">
        <v>2.2514637411120799</v>
      </c>
      <c r="AB376" s="18">
        <v>-0.119989193112729</v>
      </c>
      <c r="AC376" s="18">
        <v>-0.45773695570999701</v>
      </c>
      <c r="AD376" s="18">
        <v>-0.80896674555769599</v>
      </c>
      <c r="AE376" s="21">
        <v>-0.24371372173042</v>
      </c>
      <c r="AF376" s="3">
        <v>0</v>
      </c>
      <c r="AG376" s="3">
        <v>0.337007</v>
      </c>
      <c r="AH376" s="3">
        <v>-0.24945700000000001</v>
      </c>
      <c r="AI376" s="3">
        <v>11.51</v>
      </c>
      <c r="AJ376" s="3">
        <v>8.9480000000000004E-2</v>
      </c>
      <c r="AK376" s="3">
        <v>1.20217</v>
      </c>
      <c r="AL376" s="3">
        <v>0</v>
      </c>
      <c r="AM376" s="3">
        <v>0.26033499999999998</v>
      </c>
      <c r="AN376" s="3">
        <v>1.6461399999999999</v>
      </c>
      <c r="AO376" s="3">
        <v>28.659500000000001</v>
      </c>
      <c r="AP376" s="3">
        <v>3.5887000000000002E-2</v>
      </c>
      <c r="AQ376" s="3">
        <v>-8.8331199999999999E-2</v>
      </c>
      <c r="AR376" s="3">
        <v>0</v>
      </c>
      <c r="AS376" s="3">
        <v>3.7284699999999997E-2</v>
      </c>
      <c r="AT376" s="3">
        <v>-2.1368000000000002E-2</v>
      </c>
      <c r="AU376" s="3">
        <v>0</v>
      </c>
      <c r="AV376" s="3">
        <v>0.10503999999999999</v>
      </c>
      <c r="AW376" s="3">
        <v>-0.54786100000000004</v>
      </c>
      <c r="AX376" s="3">
        <v>0.36980000000000002</v>
      </c>
      <c r="AY376" s="3">
        <v>9.6427200000000005E-2</v>
      </c>
      <c r="AZ376" s="21">
        <v>2.27983</v>
      </c>
      <c r="BA376" s="3">
        <v>25.992999999999999</v>
      </c>
      <c r="BB376" s="3">
        <v>12</v>
      </c>
    </row>
    <row r="377" spans="1:54" s="3" customFormat="1" ht="94.5" customHeight="1" x14ac:dyDescent="0.25">
      <c r="A377" s="2">
        <v>375</v>
      </c>
      <c r="B377" s="3">
        <v>10</v>
      </c>
      <c r="C377" s="2">
        <v>1</v>
      </c>
      <c r="D377" s="9">
        <v>86</v>
      </c>
      <c r="E377" s="3" t="s">
        <v>16</v>
      </c>
      <c r="F377" s="3">
        <f t="shared" si="49"/>
        <v>1</v>
      </c>
      <c r="G377" s="11"/>
      <c r="H377" s="3" t="s">
        <v>38</v>
      </c>
      <c r="I377" s="3">
        <f t="shared" si="43"/>
        <v>3</v>
      </c>
      <c r="J377" s="3" t="s">
        <v>51</v>
      </c>
      <c r="K377" s="3">
        <v>13</v>
      </c>
      <c r="L377" s="6" t="s">
        <v>216</v>
      </c>
      <c r="M377" s="3">
        <v>49</v>
      </c>
      <c r="N377" s="3">
        <f t="shared" si="44"/>
        <v>0.49</v>
      </c>
      <c r="O377" s="3">
        <v>1</v>
      </c>
      <c r="P377" s="3">
        <v>0.01</v>
      </c>
      <c r="Q377" s="17">
        <v>0.1566666666666667</v>
      </c>
      <c r="R377" s="21">
        <v>0.23335978686024031</v>
      </c>
      <c r="S377" s="3">
        <v>15</v>
      </c>
      <c r="T377" s="3">
        <v>452.08</v>
      </c>
      <c r="U377" s="3">
        <v>487.49</v>
      </c>
      <c r="V377" s="26">
        <v>2.2312477370540802</v>
      </c>
      <c r="W377" s="18">
        <v>1.45189010017492</v>
      </c>
      <c r="X377" s="18">
        <v>3.1347382324683699</v>
      </c>
      <c r="Y377" s="18">
        <v>0.791051588042749</v>
      </c>
      <c r="Z377" s="18">
        <v>0.30666591747699501</v>
      </c>
      <c r="AA377" s="18">
        <v>0.13233194995493999</v>
      </c>
      <c r="AB377" s="18">
        <v>0.75946992298164595</v>
      </c>
      <c r="AC377" s="18">
        <v>0.27616738497527199</v>
      </c>
      <c r="AD377" s="18">
        <v>-0.32525573018192799</v>
      </c>
      <c r="AE377" s="21">
        <v>-0.53077856710879601</v>
      </c>
      <c r="AF377" s="3">
        <v>9.7966099999999994</v>
      </c>
      <c r="AG377" s="3">
        <v>3.6193900000000001E-2</v>
      </c>
      <c r="AH377" s="3">
        <v>2.52427</v>
      </c>
      <c r="AI377" s="3">
        <v>8.3389799999999994</v>
      </c>
      <c r="AJ377" s="3">
        <v>3.8078899999999999E-2</v>
      </c>
      <c r="AK377" s="3">
        <v>1.0167200000000001</v>
      </c>
      <c r="AL377" s="3">
        <v>0</v>
      </c>
      <c r="AM377" s="3">
        <v>0</v>
      </c>
      <c r="AN377" s="3">
        <v>-0.50016400000000005</v>
      </c>
      <c r="AO377" s="3">
        <v>35.423699999999997</v>
      </c>
      <c r="AP377" s="3">
        <v>0.104161</v>
      </c>
      <c r="AQ377" s="3">
        <v>0.20469699999999999</v>
      </c>
      <c r="AR377" s="3">
        <v>0</v>
      </c>
      <c r="AS377" s="3">
        <v>0.148816</v>
      </c>
      <c r="AT377" s="3">
        <v>-0.134605</v>
      </c>
      <c r="AU377" s="3">
        <v>0</v>
      </c>
      <c r="AV377" s="3">
        <v>0.17487</v>
      </c>
      <c r="AW377" s="3">
        <v>0.16379099999999999</v>
      </c>
      <c r="AX377" s="3">
        <v>0.64406799999999997</v>
      </c>
      <c r="AY377" s="3">
        <v>8.1153500000000003E-2</v>
      </c>
      <c r="AZ377" s="21">
        <v>2.2497500000000001</v>
      </c>
      <c r="BA377" s="3">
        <v>35.408000000000001</v>
      </c>
      <c r="BB377" s="3">
        <v>13</v>
      </c>
    </row>
    <row r="378" spans="1:54" s="3" customFormat="1" ht="78.75" customHeight="1" x14ac:dyDescent="0.25">
      <c r="A378" s="2">
        <v>376</v>
      </c>
      <c r="B378" s="3">
        <v>10</v>
      </c>
      <c r="C378" s="2">
        <v>1</v>
      </c>
      <c r="D378" s="9">
        <v>86</v>
      </c>
      <c r="E378" s="3" t="s">
        <v>53</v>
      </c>
      <c r="F378" s="3">
        <f t="shared" si="49"/>
        <v>2</v>
      </c>
      <c r="G378" s="11" t="s">
        <v>54</v>
      </c>
      <c r="H378" s="3" t="s">
        <v>54</v>
      </c>
      <c r="I378" s="3">
        <f t="shared" si="43"/>
        <v>1</v>
      </c>
      <c r="J378" s="3" t="s">
        <v>55</v>
      </c>
      <c r="K378" s="3">
        <v>1</v>
      </c>
      <c r="L378" s="6" t="s">
        <v>162</v>
      </c>
      <c r="M378" s="3">
        <v>1</v>
      </c>
      <c r="N378" s="3">
        <f t="shared" si="44"/>
        <v>0.01</v>
      </c>
      <c r="O378" s="3">
        <v>1</v>
      </c>
      <c r="P378" s="3">
        <v>0.01</v>
      </c>
      <c r="Q378" s="17">
        <v>0.13666666666666669</v>
      </c>
      <c r="R378" s="21">
        <v>0.38412960775701149</v>
      </c>
      <c r="S378" s="3">
        <v>2</v>
      </c>
      <c r="T378" s="3">
        <v>30.07</v>
      </c>
      <c r="U378" s="3">
        <v>70.510000000000005</v>
      </c>
      <c r="V378" s="26">
        <v>0.119772410877886</v>
      </c>
      <c r="W378" s="18">
        <v>1.28829601786922</v>
      </c>
      <c r="X378" s="18">
        <v>-5.19502549652094E-2</v>
      </c>
      <c r="Y378" s="18">
        <v>0.264039605665361</v>
      </c>
      <c r="Z378" s="18">
        <v>-3.5479016347196697E-2</v>
      </c>
      <c r="AA378" s="18">
        <v>-0.78866170801002899</v>
      </c>
      <c r="AB378" s="18">
        <v>0.77320709119606401</v>
      </c>
      <c r="AC378" s="18">
        <v>-0.30773519077996703</v>
      </c>
      <c r="AD378" s="18">
        <v>-0.39338404220668299</v>
      </c>
      <c r="AE378" s="21">
        <v>-1.13152354154301</v>
      </c>
      <c r="AF378" s="3">
        <v>0</v>
      </c>
      <c r="AG378" s="3">
        <v>0.17572499999999999</v>
      </c>
      <c r="AH378" s="3">
        <v>-0.46706700000000001</v>
      </c>
      <c r="AI378" s="3">
        <v>36.516599999999997</v>
      </c>
      <c r="AJ378" s="3">
        <v>0.30089399999999999</v>
      </c>
      <c r="AK378" s="3">
        <v>0.59575599999999995</v>
      </c>
      <c r="AL378" s="3">
        <v>0</v>
      </c>
      <c r="AM378" s="3">
        <v>2.2428299999999999E-3</v>
      </c>
      <c r="AN378" s="3">
        <v>-0.49246699999999999</v>
      </c>
      <c r="AO378" s="3">
        <v>10.9847</v>
      </c>
      <c r="AP378" s="3">
        <v>5.3722499999999999E-2</v>
      </c>
      <c r="AQ378" s="3">
        <v>0.51701799999999998</v>
      </c>
      <c r="AR378" s="3">
        <v>0</v>
      </c>
      <c r="AS378" s="3">
        <v>4.4095899999999997E-3</v>
      </c>
      <c r="AT378" s="3">
        <v>-0.36346400000000001</v>
      </c>
      <c r="AU378" s="3">
        <v>0</v>
      </c>
      <c r="AV378" s="3">
        <v>8.7034500000000001E-2</v>
      </c>
      <c r="AW378" s="3">
        <v>-1.24403</v>
      </c>
      <c r="AX378" s="3">
        <v>0</v>
      </c>
      <c r="AY378" s="3">
        <v>5.0000000000000001E-3</v>
      </c>
      <c r="AZ378" s="21">
        <v>-0.63919400000000004</v>
      </c>
      <c r="BA378" s="3">
        <v>40.439</v>
      </c>
      <c r="BB378" s="3">
        <v>1</v>
      </c>
    </row>
    <row r="379" spans="1:54" s="3" customFormat="1" ht="63" customHeight="1" x14ac:dyDescent="0.25">
      <c r="A379" s="2">
        <v>377</v>
      </c>
      <c r="B379" s="3">
        <v>10</v>
      </c>
      <c r="C379" s="2">
        <v>1</v>
      </c>
      <c r="D379" s="9">
        <v>86</v>
      </c>
      <c r="E379" s="3" t="s">
        <v>53</v>
      </c>
      <c r="F379" s="3">
        <f t="shared" si="49"/>
        <v>2</v>
      </c>
      <c r="G379" s="11"/>
      <c r="H379" s="3" t="s">
        <v>54</v>
      </c>
      <c r="I379" s="3">
        <f t="shared" si="43"/>
        <v>1</v>
      </c>
      <c r="J379" s="3" t="s">
        <v>56</v>
      </c>
      <c r="K379" s="3">
        <v>2</v>
      </c>
      <c r="L379" s="6" t="s">
        <v>165</v>
      </c>
      <c r="M379" s="3">
        <v>1</v>
      </c>
      <c r="N379" s="3">
        <f t="shared" si="44"/>
        <v>0.01</v>
      </c>
      <c r="O379" s="3">
        <v>1</v>
      </c>
      <c r="P379" s="3">
        <v>0.01</v>
      </c>
      <c r="Q379" s="17">
        <v>0.2638888888888889</v>
      </c>
      <c r="R379" s="21">
        <v>0.2906729102285604</v>
      </c>
      <c r="S379" s="3">
        <v>3</v>
      </c>
      <c r="T379" s="3">
        <v>70.510000000000005</v>
      </c>
      <c r="U379" s="3">
        <v>101.69</v>
      </c>
      <c r="V379" s="26">
        <v>0.54481630787098501</v>
      </c>
      <c r="W379" s="18">
        <v>0.32353547021725398</v>
      </c>
      <c r="X379" s="18">
        <v>-0.38532939513207498</v>
      </c>
      <c r="Y379" s="18">
        <v>0.80826620593834697</v>
      </c>
      <c r="Z379" s="18">
        <v>0.15545993059339999</v>
      </c>
      <c r="AA379" s="18">
        <v>0.22454817963697901</v>
      </c>
      <c r="AB379" s="18">
        <v>-0.18418942823724799</v>
      </c>
      <c r="AC379" s="18">
        <v>0.161595484767979</v>
      </c>
      <c r="AD379" s="18">
        <v>-1.03787787396088</v>
      </c>
      <c r="AE379" s="21">
        <v>0.123196974680352</v>
      </c>
      <c r="AF379" s="3">
        <v>0</v>
      </c>
      <c r="AG379" s="3">
        <v>0.255602</v>
      </c>
      <c r="AH379" s="3">
        <v>-0.44339000000000001</v>
      </c>
      <c r="AI379" s="3">
        <v>40.783099999999997</v>
      </c>
      <c r="AJ379" s="3">
        <v>0.10839699999999999</v>
      </c>
      <c r="AK379" s="3">
        <v>-0.10102800000000001</v>
      </c>
      <c r="AL379" s="3">
        <v>0</v>
      </c>
      <c r="AM379" s="3">
        <v>1.22474E-2</v>
      </c>
      <c r="AN379" s="3">
        <v>-0.43643500000000002</v>
      </c>
      <c r="AO379" s="3">
        <v>10.513500000000001</v>
      </c>
      <c r="AP379" s="3">
        <v>0.19132299999999999</v>
      </c>
      <c r="AQ379" s="3">
        <v>0.71889400000000003</v>
      </c>
      <c r="AR379" s="3">
        <v>0</v>
      </c>
      <c r="AS379" s="3">
        <v>0.145123</v>
      </c>
      <c r="AT379" s="3">
        <v>0.51813299999999995</v>
      </c>
      <c r="AU379" s="3">
        <v>1.38639</v>
      </c>
      <c r="AV379" s="3">
        <v>0.122734</v>
      </c>
      <c r="AW379" s="3">
        <v>1.8814900000000001</v>
      </c>
      <c r="AX379" s="3">
        <v>0</v>
      </c>
      <c r="AY379" s="3">
        <v>1.7299200000000001E-2</v>
      </c>
      <c r="AZ379" s="21">
        <v>-0.62798799999999999</v>
      </c>
      <c r="BA379" s="3">
        <v>31.184000000000001</v>
      </c>
      <c r="BB379" s="3">
        <v>2</v>
      </c>
    </row>
    <row r="380" spans="1:54" s="3" customFormat="1" ht="78.75" customHeight="1" x14ac:dyDescent="0.25">
      <c r="A380" s="2">
        <v>378</v>
      </c>
      <c r="B380" s="3">
        <v>10</v>
      </c>
      <c r="C380" s="2">
        <v>1</v>
      </c>
      <c r="D380" s="9">
        <v>86</v>
      </c>
      <c r="E380" s="3" t="s">
        <v>53</v>
      </c>
      <c r="F380" s="3">
        <f t="shared" si="49"/>
        <v>2</v>
      </c>
      <c r="G380" s="11"/>
      <c r="H380" s="3" t="s">
        <v>54</v>
      </c>
      <c r="I380" s="3">
        <f t="shared" si="43"/>
        <v>1</v>
      </c>
      <c r="J380" s="3" t="s">
        <v>57</v>
      </c>
      <c r="K380" s="3">
        <v>3</v>
      </c>
      <c r="L380" s="6" t="s">
        <v>168</v>
      </c>
      <c r="M380" s="3">
        <v>1</v>
      </c>
      <c r="N380" s="3">
        <f t="shared" si="44"/>
        <v>0.01</v>
      </c>
      <c r="O380" s="3">
        <v>1</v>
      </c>
      <c r="P380" s="3">
        <v>0.01</v>
      </c>
      <c r="Q380" s="17">
        <v>0.1183333333333333</v>
      </c>
      <c r="R380" s="21">
        <v>0.49294090998895668</v>
      </c>
      <c r="S380" s="3">
        <v>4</v>
      </c>
      <c r="T380" s="3">
        <v>101.69</v>
      </c>
      <c r="U380" s="3">
        <v>142.94999999999999</v>
      </c>
      <c r="V380" s="26">
        <v>0.49791863694199301</v>
      </c>
      <c r="W380" s="18">
        <v>-1.0771295258277001</v>
      </c>
      <c r="X380" s="18">
        <v>-0.91602003722037895</v>
      </c>
      <c r="Y380" s="18">
        <v>1.2482001845951101</v>
      </c>
      <c r="Z380" s="18">
        <v>1.5132479977265401</v>
      </c>
      <c r="AA380" s="18">
        <v>0.85462158920027897</v>
      </c>
      <c r="AB380" s="18">
        <v>-0.42926237818491603</v>
      </c>
      <c r="AC380" s="18">
        <v>-2.3534647824330799</v>
      </c>
      <c r="AD380" s="18">
        <v>-0.25958003739006302</v>
      </c>
      <c r="AE380" s="21">
        <v>0.62698627286094499</v>
      </c>
      <c r="AF380" s="3">
        <v>1.60039</v>
      </c>
      <c r="AG380" s="3">
        <v>6.8904300000000002E-2</v>
      </c>
      <c r="AH380" s="3">
        <v>2.8906999999999998</v>
      </c>
      <c r="AI380" s="3">
        <v>39.864199999999997</v>
      </c>
      <c r="AJ380" s="3">
        <v>0.39730799999999999</v>
      </c>
      <c r="AK380" s="3">
        <v>1.1464300000000001</v>
      </c>
      <c r="AL380" s="3">
        <v>0</v>
      </c>
      <c r="AM380" s="3">
        <v>0</v>
      </c>
      <c r="AN380" s="3">
        <v>-0.49557899999999999</v>
      </c>
      <c r="AO380" s="3">
        <v>12.133900000000001</v>
      </c>
      <c r="AP380" s="3">
        <v>0.198377</v>
      </c>
      <c r="AQ380" s="3">
        <v>1.1255900000000001</v>
      </c>
      <c r="AR380" s="3">
        <v>0</v>
      </c>
      <c r="AS380" s="3">
        <v>0</v>
      </c>
      <c r="AT380" s="3">
        <v>-0.37686799999999998</v>
      </c>
      <c r="AU380" s="3">
        <v>1.4549000000000001</v>
      </c>
      <c r="AV380" s="3">
        <v>7.1789900000000004E-2</v>
      </c>
      <c r="AW380" s="3">
        <v>1.5344500000000001</v>
      </c>
      <c r="AX380" s="3">
        <v>0</v>
      </c>
      <c r="AY380" s="3">
        <v>0.10698000000000001</v>
      </c>
      <c r="AZ380" s="21">
        <v>-0.42174099999999998</v>
      </c>
      <c r="BA380" s="3">
        <v>41.252000000000002</v>
      </c>
      <c r="BB380" s="3">
        <v>3</v>
      </c>
    </row>
    <row r="381" spans="1:54" s="3" customFormat="1" ht="63" customHeight="1" x14ac:dyDescent="0.25">
      <c r="A381" s="2">
        <v>379</v>
      </c>
      <c r="B381" s="3">
        <v>10</v>
      </c>
      <c r="C381" s="2">
        <v>1</v>
      </c>
      <c r="D381" s="9">
        <v>86</v>
      </c>
      <c r="E381" s="3" t="s">
        <v>53</v>
      </c>
      <c r="F381" s="3">
        <f>IF(E382="Happy", 1,2)</f>
        <v>2</v>
      </c>
      <c r="G381" s="11"/>
      <c r="H381" s="3" t="s">
        <v>54</v>
      </c>
      <c r="I381" s="3">
        <f t="shared" si="43"/>
        <v>1</v>
      </c>
      <c r="J381" s="3" t="s">
        <v>58</v>
      </c>
      <c r="K381" s="3">
        <v>4</v>
      </c>
      <c r="L381" s="6" t="s">
        <v>154</v>
      </c>
      <c r="M381" s="3">
        <v>1</v>
      </c>
      <c r="N381" s="3">
        <f t="shared" si="44"/>
        <v>0.01</v>
      </c>
      <c r="O381" s="3">
        <v>1</v>
      </c>
      <c r="P381" s="3">
        <v>0.01</v>
      </c>
      <c r="Q381" s="17">
        <v>0.1133333333333333</v>
      </c>
      <c r="R381" s="21">
        <v>0.34948374624421219</v>
      </c>
      <c r="S381" s="3">
        <v>5</v>
      </c>
      <c r="T381" s="3">
        <v>142.94999999999999</v>
      </c>
      <c r="U381" s="3">
        <v>181.69</v>
      </c>
      <c r="V381" s="26">
        <v>-0.71976754031652301</v>
      </c>
      <c r="W381" s="18">
        <v>-1.13533106875895</v>
      </c>
      <c r="X381" s="18">
        <v>-0.56046804819367302</v>
      </c>
      <c r="Y381" s="18">
        <v>-0.81886472058431004</v>
      </c>
      <c r="Z381" s="18">
        <v>-1.49039209695301</v>
      </c>
      <c r="AA381" s="18">
        <v>-1.6085858116307099</v>
      </c>
      <c r="AB381" s="18">
        <v>-1.09373948422987</v>
      </c>
      <c r="AC381" s="18">
        <v>0.414205818959962</v>
      </c>
      <c r="AD381" s="18">
        <v>0.45740231835847101</v>
      </c>
      <c r="AE381" s="21">
        <v>1.01671006956669</v>
      </c>
      <c r="AF381" s="3">
        <v>2.7582599999999999</v>
      </c>
      <c r="AG381" s="3">
        <v>0.16384699999999999</v>
      </c>
      <c r="AH381" s="3">
        <v>3.37737</v>
      </c>
      <c r="AI381" s="3">
        <v>41.683900000000001</v>
      </c>
      <c r="AJ381" s="3">
        <v>6.2726500000000004E-2</v>
      </c>
      <c r="AK381" s="3">
        <v>-8.5286500000000001E-2</v>
      </c>
      <c r="AL381" s="3">
        <v>0</v>
      </c>
      <c r="AM381" s="3">
        <v>0</v>
      </c>
      <c r="AN381" s="3">
        <v>-0.49557899999999999</v>
      </c>
      <c r="AO381" s="3">
        <v>26.126000000000001</v>
      </c>
      <c r="AP381" s="3">
        <v>0.260405</v>
      </c>
      <c r="AQ381" s="3">
        <v>0.93403899999999995</v>
      </c>
      <c r="AR381" s="3">
        <v>0</v>
      </c>
      <c r="AS381" s="3">
        <v>0.13220599999999999</v>
      </c>
      <c r="AT381" s="3">
        <v>0.179678</v>
      </c>
      <c r="AU381" s="3">
        <v>1.0847100000000001</v>
      </c>
      <c r="AV381" s="3">
        <v>0.180197</v>
      </c>
      <c r="AW381" s="3">
        <v>1.7181299999999999</v>
      </c>
      <c r="AX381" s="3">
        <v>0</v>
      </c>
      <c r="AY381" s="3">
        <v>4.83046E-3</v>
      </c>
      <c r="AZ381" s="21">
        <v>-0.64015</v>
      </c>
      <c r="BA381" s="3">
        <v>38.738</v>
      </c>
      <c r="BB381" s="3">
        <v>4</v>
      </c>
    </row>
    <row r="382" spans="1:54" s="3" customFormat="1" ht="94.5" customHeight="1" x14ac:dyDescent="0.25">
      <c r="A382" s="2">
        <v>380</v>
      </c>
      <c r="B382" s="3">
        <v>10</v>
      </c>
      <c r="C382" s="2">
        <v>1</v>
      </c>
      <c r="D382" s="9">
        <v>86</v>
      </c>
      <c r="E382" s="3" t="s">
        <v>53</v>
      </c>
      <c r="F382" s="3">
        <f>IF(E383="Happy", 1,2)</f>
        <v>2</v>
      </c>
      <c r="G382" s="11"/>
      <c r="H382" s="3" t="s">
        <v>54</v>
      </c>
      <c r="I382" s="3">
        <f t="shared" si="43"/>
        <v>1</v>
      </c>
      <c r="J382" s="3" t="s">
        <v>59</v>
      </c>
      <c r="K382" s="3">
        <v>5</v>
      </c>
      <c r="L382" s="6" t="s">
        <v>190</v>
      </c>
      <c r="M382" s="3">
        <v>1</v>
      </c>
      <c r="N382" s="3">
        <f t="shared" si="44"/>
        <v>0.01</v>
      </c>
      <c r="O382" s="3">
        <v>1</v>
      </c>
      <c r="P382" s="3">
        <v>0.01</v>
      </c>
      <c r="Q382" s="17">
        <v>-7.8395061728395041E-2</v>
      </c>
      <c r="R382" s="21">
        <v>0.28420949015392288</v>
      </c>
      <c r="S382" s="3">
        <v>6</v>
      </c>
      <c r="T382" s="3">
        <v>181.69</v>
      </c>
      <c r="U382" s="3">
        <v>224.94</v>
      </c>
      <c r="V382" s="26">
        <v>-0.44795944095580398</v>
      </c>
      <c r="W382" s="18">
        <v>-1.03329314448273</v>
      </c>
      <c r="X382" s="18">
        <v>-1.0815108157348301</v>
      </c>
      <c r="Y382" s="18">
        <v>-0.61617788703691501</v>
      </c>
      <c r="Z382" s="18">
        <v>-0.58266564528036802</v>
      </c>
      <c r="AA382" s="18">
        <v>-0.60157325124727601</v>
      </c>
      <c r="AB382" s="18">
        <v>-0.43332745857489502</v>
      </c>
      <c r="AC382" s="18">
        <v>1.1062385013365399</v>
      </c>
      <c r="AD382" s="18">
        <v>-0.91497439906821598</v>
      </c>
      <c r="AE382" s="21">
        <v>-0.52887747541754704</v>
      </c>
      <c r="AF382" s="3">
        <v>0.94400700000000004</v>
      </c>
      <c r="AG382" s="3">
        <v>0.29527599999999998</v>
      </c>
      <c r="AH382" s="3">
        <v>3.8884599999999998</v>
      </c>
      <c r="AI382" s="3">
        <v>45.367899999999999</v>
      </c>
      <c r="AJ382" s="3">
        <v>5.1915700000000002E-2</v>
      </c>
      <c r="AK382" s="3">
        <v>-0.17877399999999999</v>
      </c>
      <c r="AL382" s="3">
        <v>0</v>
      </c>
      <c r="AM382" s="3">
        <v>0</v>
      </c>
      <c r="AN382" s="3">
        <v>-0.49557899999999999</v>
      </c>
      <c r="AO382" s="3">
        <v>25.404900000000001</v>
      </c>
      <c r="AP382" s="3">
        <v>0.13178500000000001</v>
      </c>
      <c r="AQ382" s="3">
        <v>1.04901</v>
      </c>
      <c r="AR382" s="3">
        <v>0</v>
      </c>
      <c r="AS382" s="3">
        <v>0</v>
      </c>
      <c r="AT382" s="3">
        <v>-0.37686799999999998</v>
      </c>
      <c r="AU382" s="3">
        <v>4.3035600000000001</v>
      </c>
      <c r="AV382" s="3">
        <v>0.123558</v>
      </c>
      <c r="AW382" s="3">
        <v>1.752</v>
      </c>
      <c r="AX382" s="3">
        <v>0</v>
      </c>
      <c r="AY382" s="3">
        <v>0</v>
      </c>
      <c r="AZ382" s="21">
        <v>-0.64875300000000002</v>
      </c>
      <c r="BA382" s="3">
        <v>43.253</v>
      </c>
      <c r="BB382" s="3">
        <v>5</v>
      </c>
    </row>
    <row r="383" spans="1:54" s="3" customFormat="1" ht="78.75" customHeight="1" x14ac:dyDescent="0.25">
      <c r="A383" s="2">
        <v>381</v>
      </c>
      <c r="B383" s="3">
        <v>10</v>
      </c>
      <c r="C383" s="2">
        <v>1</v>
      </c>
      <c r="D383" s="9">
        <v>86</v>
      </c>
      <c r="E383" s="3" t="s">
        <v>53</v>
      </c>
      <c r="F383" s="3">
        <f t="shared" ref="F383:F390" si="50">IF(E383="Happy", 1,2)</f>
        <v>2</v>
      </c>
      <c r="G383" s="11"/>
      <c r="H383" s="3" t="s">
        <v>54</v>
      </c>
      <c r="I383" s="3">
        <f t="shared" si="43"/>
        <v>1</v>
      </c>
      <c r="J383" s="3" t="s">
        <v>60</v>
      </c>
      <c r="K383" s="3">
        <v>6</v>
      </c>
      <c r="L383" s="6" t="s">
        <v>188</v>
      </c>
      <c r="M383" s="3">
        <v>1</v>
      </c>
      <c r="N383" s="3">
        <f t="shared" si="44"/>
        <v>0.01</v>
      </c>
      <c r="O383" s="3">
        <v>1</v>
      </c>
      <c r="P383" s="3">
        <v>0.01</v>
      </c>
      <c r="Q383" s="17">
        <v>4.3939393939393931E-2</v>
      </c>
      <c r="R383" s="21">
        <v>0.39653168062258748</v>
      </c>
      <c r="S383" s="3">
        <v>7</v>
      </c>
      <c r="T383" s="3">
        <v>224.94</v>
      </c>
      <c r="U383" s="3">
        <v>270.77</v>
      </c>
      <c r="V383" s="26">
        <v>0.676085699354954</v>
      </c>
      <c r="W383" s="18">
        <v>1.3202471831453</v>
      </c>
      <c r="X383" s="18">
        <v>0.17753361589011701</v>
      </c>
      <c r="Y383" s="18">
        <v>-0.330301630968664</v>
      </c>
      <c r="Z383" s="18">
        <v>1.09200504156664</v>
      </c>
      <c r="AA383" s="18">
        <v>1.6983080162144499</v>
      </c>
      <c r="AB383" s="18">
        <v>0.54331978638337997</v>
      </c>
      <c r="AC383" s="18">
        <v>-0.22905328340869499</v>
      </c>
      <c r="AD383" s="18">
        <v>0.58575605821311105</v>
      </c>
      <c r="AE383" s="21">
        <v>-0.38439450688273602</v>
      </c>
      <c r="AF383" s="3">
        <v>0.47141</v>
      </c>
      <c r="AG383" s="3">
        <v>0.172874</v>
      </c>
      <c r="AH383" s="3">
        <v>3.4823599999999999</v>
      </c>
      <c r="AI383" s="3">
        <v>54.316899999999997</v>
      </c>
      <c r="AJ383" s="3">
        <v>0.14535100000000001</v>
      </c>
      <c r="AK383" s="3">
        <v>0.29161199999999998</v>
      </c>
      <c r="AL383" s="3">
        <v>0</v>
      </c>
      <c r="AM383" s="3">
        <v>0</v>
      </c>
      <c r="AN383" s="3">
        <v>-0.49557899999999999</v>
      </c>
      <c r="AO383" s="3">
        <v>26.2942</v>
      </c>
      <c r="AP383" s="3">
        <v>4.7535099999999997E-2</v>
      </c>
      <c r="AQ383" s="3">
        <v>0.38537900000000003</v>
      </c>
      <c r="AR383" s="3">
        <v>0</v>
      </c>
      <c r="AS383" s="3">
        <v>0</v>
      </c>
      <c r="AT383" s="3">
        <v>-0.37686799999999998</v>
      </c>
      <c r="AU383" s="3">
        <v>2.7760799999999999</v>
      </c>
      <c r="AV383" s="3">
        <v>0.47026200000000001</v>
      </c>
      <c r="AW383" s="3">
        <v>3.1244499999999999</v>
      </c>
      <c r="AX383" s="3">
        <v>0</v>
      </c>
      <c r="AY383" s="3">
        <v>0.38778400000000002</v>
      </c>
      <c r="AZ383" s="21">
        <v>2.8544</v>
      </c>
      <c r="BA383" s="3">
        <v>45.828000000000003</v>
      </c>
      <c r="BB383" s="3">
        <v>6</v>
      </c>
    </row>
    <row r="384" spans="1:54" s="3" customFormat="1" ht="63" customHeight="1" x14ac:dyDescent="0.25">
      <c r="A384" s="2">
        <v>382</v>
      </c>
      <c r="B384" s="3">
        <v>10</v>
      </c>
      <c r="C384" s="2">
        <v>1</v>
      </c>
      <c r="D384" s="9">
        <v>86</v>
      </c>
      <c r="E384" s="3" t="s">
        <v>53</v>
      </c>
      <c r="F384" s="3">
        <f t="shared" si="50"/>
        <v>2</v>
      </c>
      <c r="G384" s="11"/>
      <c r="H384" s="3" t="s">
        <v>54</v>
      </c>
      <c r="I384" s="3">
        <f t="shared" si="43"/>
        <v>1</v>
      </c>
      <c r="J384" s="3" t="s">
        <v>61</v>
      </c>
      <c r="K384" s="3">
        <v>7</v>
      </c>
      <c r="L384" s="6" t="s">
        <v>143</v>
      </c>
      <c r="M384" s="3">
        <v>1</v>
      </c>
      <c r="N384" s="3">
        <f t="shared" si="44"/>
        <v>0.01</v>
      </c>
      <c r="O384" s="3">
        <v>1</v>
      </c>
      <c r="P384" s="3">
        <v>0.01</v>
      </c>
      <c r="Q384" s="17">
        <v>2.916666666666666E-2</v>
      </c>
      <c r="R384" s="21">
        <v>0.4700135087555446</v>
      </c>
      <c r="S384" s="3">
        <v>8</v>
      </c>
      <c r="T384" s="3">
        <v>270.77</v>
      </c>
      <c r="U384" s="3">
        <v>314.58999999999997</v>
      </c>
      <c r="V384" s="26">
        <v>-1.19696649696555</v>
      </c>
      <c r="W384" s="18">
        <v>-0.601947268140402</v>
      </c>
      <c r="X384" s="18">
        <v>-1.11080608490317</v>
      </c>
      <c r="Y384" s="18">
        <v>-0.86128957839300402</v>
      </c>
      <c r="Z384" s="18">
        <v>-0.48738012069922199</v>
      </c>
      <c r="AA384" s="18">
        <v>-0.90113434451930496</v>
      </c>
      <c r="AB384" s="18">
        <v>-0.99407492708241996</v>
      </c>
      <c r="AC384" s="18">
        <v>0.862830729410205</v>
      </c>
      <c r="AD384" s="18">
        <v>0.93893322774944699</v>
      </c>
      <c r="AE384" s="21">
        <v>0.27528430998015302</v>
      </c>
      <c r="AF384" s="3">
        <v>5.6712300000000004</v>
      </c>
      <c r="AG384" s="3">
        <v>0.186914</v>
      </c>
      <c r="AH384" s="3">
        <v>3.7847599999999999</v>
      </c>
      <c r="AI384" s="3">
        <v>39.835599999999999</v>
      </c>
      <c r="AJ384" s="3">
        <v>0.30634099999999997</v>
      </c>
      <c r="AK384" s="3">
        <v>0.63239299999999998</v>
      </c>
      <c r="AL384" s="3">
        <v>0</v>
      </c>
      <c r="AM384" s="3">
        <v>0</v>
      </c>
      <c r="AN384" s="3">
        <v>-0.49557899999999999</v>
      </c>
      <c r="AO384" s="3">
        <v>16.9589</v>
      </c>
      <c r="AP384" s="3">
        <v>0.27482800000000002</v>
      </c>
      <c r="AQ384" s="3">
        <v>1.3876500000000001</v>
      </c>
      <c r="AR384" s="3">
        <v>0</v>
      </c>
      <c r="AS384" s="3">
        <v>0</v>
      </c>
      <c r="AT384" s="3">
        <v>-0.37686799999999998</v>
      </c>
      <c r="AU384" s="3">
        <v>5.3972600000000002</v>
      </c>
      <c r="AV384" s="3">
        <v>0.11795700000000001</v>
      </c>
      <c r="AW384" s="3">
        <v>1.6503099999999999</v>
      </c>
      <c r="AX384" s="3">
        <v>0</v>
      </c>
      <c r="AY384" s="3">
        <v>0</v>
      </c>
      <c r="AZ384" s="21">
        <v>-0.64875300000000002</v>
      </c>
      <c r="BA384" s="3">
        <v>43.829000000000001</v>
      </c>
      <c r="BB384" s="3">
        <v>7</v>
      </c>
    </row>
    <row r="385" spans="1:54" s="3" customFormat="1" ht="94.5" customHeight="1" x14ac:dyDescent="0.25">
      <c r="A385" s="2">
        <v>383</v>
      </c>
      <c r="B385" s="3">
        <v>10</v>
      </c>
      <c r="C385" s="2">
        <v>1</v>
      </c>
      <c r="D385" s="9">
        <v>86</v>
      </c>
      <c r="E385" s="3" t="s">
        <v>53</v>
      </c>
      <c r="F385" s="3">
        <f t="shared" si="50"/>
        <v>2</v>
      </c>
      <c r="G385" s="11"/>
      <c r="H385" s="3" t="s">
        <v>54</v>
      </c>
      <c r="I385" s="3">
        <f t="shared" si="43"/>
        <v>1</v>
      </c>
      <c r="J385" s="3" t="s">
        <v>62</v>
      </c>
      <c r="K385" s="3">
        <v>8</v>
      </c>
      <c r="L385" s="6" t="s">
        <v>170</v>
      </c>
      <c r="M385" s="3">
        <v>1</v>
      </c>
      <c r="N385" s="3">
        <f t="shared" si="44"/>
        <v>0.01</v>
      </c>
      <c r="O385" s="3">
        <v>1</v>
      </c>
      <c r="P385" s="3">
        <v>0.01</v>
      </c>
      <c r="Q385" s="17">
        <v>-3.2083333333333332E-2</v>
      </c>
      <c r="R385" s="21">
        <v>0.21477135775310241</v>
      </c>
      <c r="S385" s="3">
        <v>9</v>
      </c>
      <c r="T385" s="3">
        <v>314.58999999999997</v>
      </c>
      <c r="U385" s="3">
        <v>352.67</v>
      </c>
      <c r="V385" s="26">
        <v>0.58665498210046896</v>
      </c>
      <c r="W385" s="18">
        <v>-0.57169399087415795</v>
      </c>
      <c r="X385" s="18">
        <v>-0.65666547724360602</v>
      </c>
      <c r="Y385" s="18">
        <v>0.45174010942039799</v>
      </c>
      <c r="Z385" s="18">
        <v>6.6060770465142707E-2</v>
      </c>
      <c r="AA385" s="18">
        <v>0.123266145500792</v>
      </c>
      <c r="AB385" s="18">
        <v>-1.7521890572827801</v>
      </c>
      <c r="AC385" s="18">
        <v>1.1237233696412701</v>
      </c>
      <c r="AD385" s="18">
        <v>1.3880350606166401</v>
      </c>
      <c r="AE385" s="21">
        <v>-0.86917288815085403</v>
      </c>
      <c r="AF385" s="3">
        <v>0.88281699999999996</v>
      </c>
      <c r="AG385" s="3">
        <v>0.19684199999999999</v>
      </c>
      <c r="AH385" s="3">
        <v>3.3283399999999999</v>
      </c>
      <c r="AI385" s="3">
        <v>55.396700000000003</v>
      </c>
      <c r="AJ385" s="3">
        <v>0.21576799999999999</v>
      </c>
      <c r="AK385" s="3">
        <v>0.53747199999999995</v>
      </c>
      <c r="AL385" s="3">
        <v>0</v>
      </c>
      <c r="AM385" s="3">
        <v>0</v>
      </c>
      <c r="AN385" s="3">
        <v>-0.49557899999999999</v>
      </c>
      <c r="AO385" s="3">
        <v>38.591700000000003</v>
      </c>
      <c r="AP385" s="3">
        <v>7.6314499999999993E-2</v>
      </c>
      <c r="AQ385" s="3">
        <v>0.68259700000000001</v>
      </c>
      <c r="AR385" s="3">
        <v>0</v>
      </c>
      <c r="AS385" s="3">
        <v>1.8480799999999999E-2</v>
      </c>
      <c r="AT385" s="3">
        <v>-0.32237199999999999</v>
      </c>
      <c r="AU385" s="3">
        <v>13.399900000000001</v>
      </c>
      <c r="AV385" s="3">
        <v>5.1682800000000001E-2</v>
      </c>
      <c r="AW385" s="3">
        <v>1.47634</v>
      </c>
      <c r="AX385" s="3">
        <v>0</v>
      </c>
      <c r="AY385" s="3">
        <v>0</v>
      </c>
      <c r="AZ385" s="21">
        <v>-0.64875300000000002</v>
      </c>
      <c r="BA385" s="3">
        <v>38.070999999999998</v>
      </c>
      <c r="BB385" s="3">
        <v>8</v>
      </c>
    </row>
    <row r="386" spans="1:54" s="3" customFormat="1" ht="126" customHeight="1" x14ac:dyDescent="0.25">
      <c r="A386" s="2">
        <v>384</v>
      </c>
      <c r="B386" s="3">
        <v>10</v>
      </c>
      <c r="C386" s="2">
        <v>1</v>
      </c>
      <c r="D386" s="9">
        <v>86</v>
      </c>
      <c r="E386" s="3" t="s">
        <v>53</v>
      </c>
      <c r="F386" s="3">
        <f t="shared" si="50"/>
        <v>2</v>
      </c>
      <c r="G386" s="11"/>
      <c r="H386" s="3" t="s">
        <v>54</v>
      </c>
      <c r="I386" s="3">
        <f t="shared" si="43"/>
        <v>1</v>
      </c>
      <c r="J386" s="3" t="s">
        <v>63</v>
      </c>
      <c r="K386" s="3">
        <v>9</v>
      </c>
      <c r="L386" s="6" t="s">
        <v>261</v>
      </c>
      <c r="M386" s="3">
        <v>1</v>
      </c>
      <c r="N386" s="3">
        <f t="shared" si="44"/>
        <v>0.01</v>
      </c>
      <c r="O386" s="3">
        <v>1</v>
      </c>
      <c r="P386" s="3">
        <v>0.01</v>
      </c>
      <c r="Q386" s="17">
        <v>0.1633333333333333</v>
      </c>
      <c r="R386" s="21">
        <v>0.37191121079896028</v>
      </c>
      <c r="S386" s="3">
        <v>10</v>
      </c>
      <c r="T386" s="3">
        <v>352.67</v>
      </c>
      <c r="U386" s="3">
        <v>422.26</v>
      </c>
      <c r="V386" s="26">
        <v>0.95911397004486698</v>
      </c>
      <c r="W386" s="18">
        <v>-1.11562527761444</v>
      </c>
      <c r="X386" s="18">
        <v>-0.14454171897565299</v>
      </c>
      <c r="Y386" s="18">
        <v>-0.358701381304039</v>
      </c>
      <c r="Z386" s="18">
        <v>7.1211339361422002E-2</v>
      </c>
      <c r="AA386" s="18">
        <v>-0.30781993895368398</v>
      </c>
      <c r="AB386" s="18">
        <v>-1.4180114141892199</v>
      </c>
      <c r="AC386" s="18">
        <v>0.40592351292088102</v>
      </c>
      <c r="AD386" s="18">
        <v>0.98062775470859798</v>
      </c>
      <c r="AE386" s="21">
        <v>0.100383874385381</v>
      </c>
      <c r="AF386" s="3">
        <v>5.3306500000000003</v>
      </c>
      <c r="AG386" s="3">
        <v>0.142321</v>
      </c>
      <c r="AH386" s="3">
        <v>3.2690100000000002</v>
      </c>
      <c r="AI386" s="3">
        <v>35.934399999999997</v>
      </c>
      <c r="AJ386" s="3">
        <v>0.57514399999999999</v>
      </c>
      <c r="AK386" s="3">
        <v>0.95278499999999999</v>
      </c>
      <c r="AL386" s="3">
        <v>0</v>
      </c>
      <c r="AM386" s="3">
        <v>0.29991899999999999</v>
      </c>
      <c r="AN386" s="3">
        <v>0.888181</v>
      </c>
      <c r="AO386" s="3">
        <v>28.6371</v>
      </c>
      <c r="AP386" s="3">
        <v>0.24054600000000001</v>
      </c>
      <c r="AQ386" s="3">
        <v>1.65282</v>
      </c>
      <c r="AR386" s="3">
        <v>0</v>
      </c>
      <c r="AS386" s="3">
        <v>0</v>
      </c>
      <c r="AT386" s="3">
        <v>-0.37686799999999998</v>
      </c>
      <c r="AU386" s="3">
        <v>2.2771699999999999</v>
      </c>
      <c r="AV386" s="3">
        <v>0.43449100000000002</v>
      </c>
      <c r="AW386" s="3">
        <v>3.0966399999999998</v>
      </c>
      <c r="AX386" s="3">
        <v>1.10408</v>
      </c>
      <c r="AY386" s="3">
        <v>0.13974700000000001</v>
      </c>
      <c r="AZ386" s="21">
        <v>4.7161099999999996</v>
      </c>
      <c r="BA386" s="3">
        <v>69.59</v>
      </c>
      <c r="BB386" s="3">
        <v>9</v>
      </c>
    </row>
    <row r="387" spans="1:54" s="3" customFormat="1" ht="94.5" customHeight="1" x14ac:dyDescent="0.25">
      <c r="A387" s="2">
        <v>385</v>
      </c>
      <c r="B387" s="3">
        <v>10</v>
      </c>
      <c r="C387" s="2">
        <v>1</v>
      </c>
      <c r="D387" s="9">
        <v>86</v>
      </c>
      <c r="E387" s="3" t="s">
        <v>53</v>
      </c>
      <c r="F387" s="3">
        <f t="shared" si="50"/>
        <v>2</v>
      </c>
      <c r="G387" s="11" t="s">
        <v>76</v>
      </c>
      <c r="H387" s="3" t="s">
        <v>76</v>
      </c>
      <c r="I387" s="3">
        <f t="shared" ref="I387:I450" si="51">IF(OR(H387="HM1",H387="SM1"),1, IF(OR(H387="HM2",H387="SM2"),2,IF(OR(H387="HM3",H387="SM3"),3 )))</f>
        <v>2</v>
      </c>
      <c r="J387" s="3" t="s">
        <v>77</v>
      </c>
      <c r="K387" s="3">
        <v>1</v>
      </c>
      <c r="L387" s="6" t="s">
        <v>196</v>
      </c>
      <c r="M387" s="3">
        <v>-46</v>
      </c>
      <c r="N387" s="3">
        <f t="shared" ref="N387:N450" si="52">M387/100</f>
        <v>-0.46</v>
      </c>
      <c r="O387" s="3">
        <v>-23</v>
      </c>
      <c r="P387" s="3">
        <v>-0.23</v>
      </c>
      <c r="Q387" s="17">
        <v>0.11860082304526751</v>
      </c>
      <c r="R387" s="21">
        <v>0.53660572647439109</v>
      </c>
      <c r="S387" s="3">
        <v>2</v>
      </c>
      <c r="T387" s="3">
        <v>25.34</v>
      </c>
      <c r="U387" s="3">
        <v>90.37</v>
      </c>
      <c r="V387" s="26">
        <v>0.23574357269101201</v>
      </c>
      <c r="W387" s="18">
        <v>0.13747781502984999</v>
      </c>
      <c r="X387" s="18">
        <v>2.2029570339640599E-2</v>
      </c>
      <c r="Y387" s="18">
        <v>0.26587466645626401</v>
      </c>
      <c r="Z387" s="18">
        <v>-0.87428595088392602</v>
      </c>
      <c r="AA387" s="18">
        <v>-0.75763965839349101</v>
      </c>
      <c r="AB387" s="18">
        <v>-0.326794317320238</v>
      </c>
      <c r="AC387" s="18">
        <v>0.179540481185988</v>
      </c>
      <c r="AD387" s="18">
        <v>3.47848418678426</v>
      </c>
      <c r="AE387" s="21">
        <v>-1.2703032350040799</v>
      </c>
      <c r="AF387" s="3">
        <v>0.110735</v>
      </c>
      <c r="AG387" s="3">
        <v>6.9185700000000003E-2</v>
      </c>
      <c r="AH387" s="3">
        <v>2.9775200000000002</v>
      </c>
      <c r="AI387" s="3">
        <v>34.789299999999997</v>
      </c>
      <c r="AJ387" s="3">
        <v>0.161437</v>
      </c>
      <c r="AK387" s="3">
        <v>6.9882E-2</v>
      </c>
      <c r="AL387" s="3">
        <v>0</v>
      </c>
      <c r="AM387" s="3">
        <v>0</v>
      </c>
      <c r="AN387" s="3">
        <v>-0.51049999999999995</v>
      </c>
      <c r="AO387" s="3">
        <v>22.9222</v>
      </c>
      <c r="AP387" s="3">
        <v>0.16931199999999999</v>
      </c>
      <c r="AQ387" s="3">
        <v>0.38348500000000002</v>
      </c>
      <c r="AR387" s="3">
        <v>0</v>
      </c>
      <c r="AS387" s="3">
        <v>9.0079300000000001E-2</v>
      </c>
      <c r="AT387" s="3">
        <v>2.33467</v>
      </c>
      <c r="AU387" s="3">
        <v>0.941249</v>
      </c>
      <c r="AV387" s="3">
        <v>0.26347599999999999</v>
      </c>
      <c r="AW387" s="3">
        <v>2.7975400000000001</v>
      </c>
      <c r="AX387" s="3">
        <v>0</v>
      </c>
      <c r="AY387" s="3">
        <v>6.4828800000000006E-2</v>
      </c>
      <c r="AZ387" s="21">
        <v>-0.48145900000000003</v>
      </c>
      <c r="BA387" s="3">
        <v>65.031999999999996</v>
      </c>
      <c r="BB387" s="3">
        <v>1</v>
      </c>
    </row>
    <row r="388" spans="1:54" s="3" customFormat="1" ht="31.5" customHeight="1" x14ac:dyDescent="0.25">
      <c r="A388" s="2">
        <v>386</v>
      </c>
      <c r="B388" s="3">
        <v>10</v>
      </c>
      <c r="C388" s="2">
        <v>1</v>
      </c>
      <c r="D388" s="9">
        <v>86</v>
      </c>
      <c r="E388" s="3" t="s">
        <v>53</v>
      </c>
      <c r="F388" s="3">
        <f t="shared" si="50"/>
        <v>2</v>
      </c>
      <c r="G388" s="11"/>
      <c r="H388" s="3" t="s">
        <v>76</v>
      </c>
      <c r="I388" s="3">
        <f t="shared" si="51"/>
        <v>2</v>
      </c>
      <c r="J388" s="3" t="s">
        <v>78</v>
      </c>
      <c r="K388" s="3">
        <v>2</v>
      </c>
      <c r="L388" s="6" t="s">
        <v>157</v>
      </c>
      <c r="M388" s="3">
        <v>-46</v>
      </c>
      <c r="N388" s="3">
        <f t="shared" si="52"/>
        <v>-0.46</v>
      </c>
      <c r="O388" s="3">
        <v>-23</v>
      </c>
      <c r="P388" s="3">
        <v>-0.23</v>
      </c>
      <c r="Q388" s="17">
        <v>0.28333333333333333</v>
      </c>
      <c r="R388" s="21">
        <v>0.4006938426723769</v>
      </c>
      <c r="S388" s="3">
        <v>3</v>
      </c>
      <c r="T388" s="3">
        <v>90.37</v>
      </c>
      <c r="U388" s="3">
        <v>104.74</v>
      </c>
      <c r="V388" s="26">
        <v>2.13038345959582E-2</v>
      </c>
      <c r="W388" s="18">
        <v>-1.05031318550258</v>
      </c>
      <c r="X388" s="18">
        <v>-1.1892230374020001</v>
      </c>
      <c r="Y388" s="18">
        <v>1.66807957032274</v>
      </c>
      <c r="Z388" s="18">
        <v>0.27956411447515001</v>
      </c>
      <c r="AA388" s="18">
        <v>0.74661102832077897</v>
      </c>
      <c r="AB388" s="18">
        <v>-0.29712390297957603</v>
      </c>
      <c r="AC388" s="18">
        <v>-3.0611418206612502</v>
      </c>
      <c r="AD388" s="18">
        <v>4.64523402251419E-2</v>
      </c>
      <c r="AE388" s="21">
        <v>-7.0714377826895505E-2</v>
      </c>
      <c r="AF388" s="3">
        <v>0</v>
      </c>
      <c r="AG388" s="3">
        <v>0.28566799999999998</v>
      </c>
      <c r="AH388" s="3">
        <v>-0.270208</v>
      </c>
      <c r="AI388" s="3">
        <v>42.175699999999999</v>
      </c>
      <c r="AJ388" s="3">
        <v>0.35639900000000002</v>
      </c>
      <c r="AK388" s="3">
        <v>0.837584</v>
      </c>
      <c r="AL388" s="3">
        <v>0</v>
      </c>
      <c r="AM388" s="3">
        <v>0</v>
      </c>
      <c r="AN388" s="3">
        <v>-0.51049999999999995</v>
      </c>
      <c r="AO388" s="3">
        <v>24.184100000000001</v>
      </c>
      <c r="AP388" s="3">
        <v>2.4013900000000001E-2</v>
      </c>
      <c r="AQ388" s="3">
        <v>-0.10643900000000001</v>
      </c>
      <c r="AR388" s="3">
        <v>0</v>
      </c>
      <c r="AS388" s="3">
        <v>0</v>
      </c>
      <c r="AT388" s="3">
        <v>-0.57246799999999998</v>
      </c>
      <c r="AU388" s="3">
        <v>0.83682000000000001</v>
      </c>
      <c r="AV388" s="3">
        <v>5.3706999999999998E-2</v>
      </c>
      <c r="AW388" s="3">
        <v>1.82616</v>
      </c>
      <c r="AX388" s="3">
        <v>0</v>
      </c>
      <c r="AY388" s="3">
        <v>2.21359E-2</v>
      </c>
      <c r="AZ388" s="21">
        <v>-0.60075599999999996</v>
      </c>
      <c r="BA388" s="3">
        <v>14.365</v>
      </c>
      <c r="BB388" s="3">
        <v>2</v>
      </c>
    </row>
    <row r="389" spans="1:54" s="3" customFormat="1" ht="63" customHeight="1" x14ac:dyDescent="0.25">
      <c r="A389" s="2">
        <v>387</v>
      </c>
      <c r="B389" s="3">
        <v>10</v>
      </c>
      <c r="C389" s="2">
        <v>1</v>
      </c>
      <c r="D389" s="9">
        <v>86</v>
      </c>
      <c r="E389" s="3" t="s">
        <v>53</v>
      </c>
      <c r="F389" s="3">
        <f t="shared" si="50"/>
        <v>2</v>
      </c>
      <c r="G389" s="11"/>
      <c r="H389" s="3" t="s">
        <v>76</v>
      </c>
      <c r="I389" s="3">
        <f t="shared" si="51"/>
        <v>2</v>
      </c>
      <c r="J389" s="3" t="s">
        <v>79</v>
      </c>
      <c r="K389" s="3">
        <v>3</v>
      </c>
      <c r="L389" s="6" t="s">
        <v>163</v>
      </c>
      <c r="M389" s="3">
        <v>-46</v>
      </c>
      <c r="N389" s="3">
        <f t="shared" si="52"/>
        <v>-0.46</v>
      </c>
      <c r="O389" s="3">
        <v>-23</v>
      </c>
      <c r="P389" s="3">
        <v>-0.23</v>
      </c>
      <c r="Q389" s="17">
        <v>0.1214285714285714</v>
      </c>
      <c r="R389" s="21">
        <v>0.433836703973149</v>
      </c>
      <c r="S389" s="3">
        <v>4</v>
      </c>
      <c r="T389" s="3">
        <v>104.74</v>
      </c>
      <c r="U389" s="3">
        <v>140.32</v>
      </c>
      <c r="V389" s="26">
        <v>0.32112929694175102</v>
      </c>
      <c r="W389" s="18">
        <v>0.48565804958109199</v>
      </c>
      <c r="X389" s="18">
        <v>0.52070128881488797</v>
      </c>
      <c r="Y389" s="18">
        <v>4.9075341588364303E-2</v>
      </c>
      <c r="Z389" s="18">
        <v>1.4687323665515599</v>
      </c>
      <c r="AA389" s="18">
        <v>1.3184295616064501</v>
      </c>
      <c r="AB389" s="18">
        <v>-2.6679244390995501E-2</v>
      </c>
      <c r="AC389" s="18">
        <v>-0.77936650689432496</v>
      </c>
      <c r="AD389" s="18">
        <v>-0.64436874370588504</v>
      </c>
      <c r="AE389" s="21">
        <v>-2.12859938544591E-2</v>
      </c>
      <c r="AF389" s="3">
        <v>0.23622000000000001</v>
      </c>
      <c r="AG389" s="3">
        <v>0.16587399999999999</v>
      </c>
      <c r="AH389" s="3">
        <v>3.3363700000000001</v>
      </c>
      <c r="AI389" s="3">
        <v>39.954999999999998</v>
      </c>
      <c r="AJ389" s="3">
        <v>0.28307199999999999</v>
      </c>
      <c r="AK389" s="3">
        <v>0.203627</v>
      </c>
      <c r="AL389" s="3">
        <v>0</v>
      </c>
      <c r="AM389" s="3">
        <v>9.4725199999999996E-2</v>
      </c>
      <c r="AN389" s="3">
        <v>0.39400299999999999</v>
      </c>
      <c r="AO389" s="3">
        <v>12.013500000000001</v>
      </c>
      <c r="AP389" s="3">
        <v>0.265569</v>
      </c>
      <c r="AQ389" s="3">
        <v>0.600692</v>
      </c>
      <c r="AR389" s="3">
        <v>0</v>
      </c>
      <c r="AS389" s="3">
        <v>4.5767000000000002E-2</v>
      </c>
      <c r="AT389" s="3">
        <v>-0.43472899999999998</v>
      </c>
      <c r="AU389" s="3">
        <v>0.20247499999999999</v>
      </c>
      <c r="AV389" s="3">
        <v>0.12676799999999999</v>
      </c>
      <c r="AW389" s="3">
        <v>1.91751</v>
      </c>
      <c r="AX389" s="3">
        <v>0</v>
      </c>
      <c r="AY389" s="3">
        <v>0</v>
      </c>
      <c r="AZ389" s="21">
        <v>-0.623058</v>
      </c>
      <c r="BA389" s="3">
        <v>35.582999999999998</v>
      </c>
      <c r="BB389" s="3">
        <v>3</v>
      </c>
    </row>
    <row r="390" spans="1:54" s="3" customFormat="1" ht="31.5" customHeight="1" x14ac:dyDescent="0.25">
      <c r="A390" s="2">
        <v>388</v>
      </c>
      <c r="B390" s="3">
        <v>10</v>
      </c>
      <c r="C390" s="2">
        <v>1</v>
      </c>
      <c r="D390" s="9">
        <v>86</v>
      </c>
      <c r="E390" s="3" t="s">
        <v>53</v>
      </c>
      <c r="F390" s="3">
        <f t="shared" si="50"/>
        <v>2</v>
      </c>
      <c r="G390" s="11"/>
      <c r="H390" s="3" t="s">
        <v>76</v>
      </c>
      <c r="I390" s="3">
        <f t="shared" si="51"/>
        <v>2</v>
      </c>
      <c r="J390" s="3" t="s">
        <v>80</v>
      </c>
      <c r="K390" s="3">
        <v>4</v>
      </c>
      <c r="L390" s="6" t="s">
        <v>262</v>
      </c>
      <c r="M390" s="3">
        <v>-46</v>
      </c>
      <c r="N390" s="3">
        <f t="shared" si="52"/>
        <v>-0.46</v>
      </c>
      <c r="O390" s="3">
        <v>-23</v>
      </c>
      <c r="P390" s="3">
        <v>-0.23</v>
      </c>
      <c r="Q390" s="17">
        <v>-2.916666666666666E-2</v>
      </c>
      <c r="R390" s="21">
        <v>0.33509948771471831</v>
      </c>
      <c r="S390" s="3">
        <v>5</v>
      </c>
      <c r="T390" s="3">
        <v>140.32</v>
      </c>
      <c r="U390" s="3">
        <v>155.57</v>
      </c>
      <c r="V390" s="26">
        <v>-1.7353253069600501</v>
      </c>
      <c r="W390" s="18">
        <v>-0.85942941227508696</v>
      </c>
      <c r="X390" s="18">
        <v>-1.52430925676309</v>
      </c>
      <c r="Y390" s="18">
        <v>-2.7711509424852201</v>
      </c>
      <c r="Z390" s="18">
        <v>-2.5240622213989301</v>
      </c>
      <c r="AA390" s="18">
        <v>-2.1079487358804898</v>
      </c>
      <c r="AB390" s="18">
        <v>-1.5344969936400401</v>
      </c>
      <c r="AC390" s="18">
        <v>0.88997828809386104</v>
      </c>
      <c r="AD390" s="18">
        <v>-0.25467479892428002</v>
      </c>
      <c r="AE390" s="21">
        <v>-0.37679014011774598</v>
      </c>
      <c r="AF390" s="3">
        <v>0</v>
      </c>
      <c r="AG390" s="3">
        <v>0.38600099999999998</v>
      </c>
      <c r="AH390" s="3">
        <v>0.54380899999999999</v>
      </c>
      <c r="AI390" s="3">
        <v>50.078699999999998</v>
      </c>
      <c r="AJ390" s="3">
        <v>0.19245100000000001</v>
      </c>
      <c r="AK390" s="3">
        <v>0.31631300000000001</v>
      </c>
      <c r="AL390" s="3">
        <v>0</v>
      </c>
      <c r="AM390" s="3">
        <v>7.9898200000000003E-2</v>
      </c>
      <c r="AN390" s="3">
        <v>-0.127967</v>
      </c>
      <c r="AO390" s="3">
        <v>34.488199999999999</v>
      </c>
      <c r="AP390" s="3">
        <v>0.125224</v>
      </c>
      <c r="AQ390" s="3">
        <v>0.101356</v>
      </c>
      <c r="AR390" s="3">
        <v>0</v>
      </c>
      <c r="AS390" s="3">
        <v>4.4483599999999998E-2</v>
      </c>
      <c r="AT390" s="3">
        <v>-0.30938300000000002</v>
      </c>
      <c r="AU390" s="3">
        <v>0</v>
      </c>
      <c r="AV390" s="3">
        <v>8.7420999999999999E-2</v>
      </c>
      <c r="AW390" s="3">
        <v>-0.52821200000000001</v>
      </c>
      <c r="AX390" s="3">
        <v>0</v>
      </c>
      <c r="AY390" s="3">
        <v>2.1105800000000001E-2</v>
      </c>
      <c r="AZ390" s="21">
        <v>-0.575268</v>
      </c>
      <c r="BA390" s="3">
        <v>15.25</v>
      </c>
      <c r="BB390" s="3">
        <v>4</v>
      </c>
    </row>
    <row r="391" spans="1:54" s="3" customFormat="1" ht="63" customHeight="1" x14ac:dyDescent="0.25">
      <c r="A391" s="2">
        <v>389</v>
      </c>
      <c r="B391" s="3">
        <v>10</v>
      </c>
      <c r="C391" s="2">
        <v>1</v>
      </c>
      <c r="D391" s="9">
        <v>86</v>
      </c>
      <c r="E391" s="3" t="s">
        <v>53</v>
      </c>
      <c r="F391" s="3">
        <f>IF(E392="Happy", 1,2)</f>
        <v>2</v>
      </c>
      <c r="G391" s="11"/>
      <c r="H391" s="3" t="s">
        <v>76</v>
      </c>
      <c r="I391" s="3">
        <f t="shared" si="51"/>
        <v>2</v>
      </c>
      <c r="J391" s="3" t="s">
        <v>81</v>
      </c>
      <c r="K391" s="3">
        <v>5</v>
      </c>
      <c r="L391" s="6" t="s">
        <v>163</v>
      </c>
      <c r="M391" s="3">
        <v>-46</v>
      </c>
      <c r="N391" s="3">
        <f t="shared" si="52"/>
        <v>-0.46</v>
      </c>
      <c r="O391" s="3">
        <v>-23</v>
      </c>
      <c r="P391" s="3">
        <v>-0.23</v>
      </c>
      <c r="Q391" s="17">
        <v>5.4166666666666648E-2</v>
      </c>
      <c r="R391" s="21">
        <v>0.43192881357927487</v>
      </c>
      <c r="S391" s="3">
        <v>7</v>
      </c>
      <c r="T391" s="3">
        <v>161.41999999999999</v>
      </c>
      <c r="U391" s="3">
        <v>197</v>
      </c>
      <c r="V391" s="26">
        <v>-0.52819799427262104</v>
      </c>
      <c r="W391" s="18">
        <v>-0.73064717928629397</v>
      </c>
      <c r="X391" s="18">
        <v>-0.59583719464483798</v>
      </c>
      <c r="Y391" s="18">
        <v>0.67430676820255797</v>
      </c>
      <c r="Z391" s="18">
        <v>0.73023889289948896</v>
      </c>
      <c r="AA391" s="18">
        <v>0.37239870149662302</v>
      </c>
      <c r="AB391" s="18">
        <v>6.5509302843846207E-2</v>
      </c>
      <c r="AC391" s="18">
        <v>-0.14116881377177401</v>
      </c>
      <c r="AD391" s="18">
        <v>1.29156537078958</v>
      </c>
      <c r="AE391" s="21">
        <v>-2.12859938544591E-2</v>
      </c>
      <c r="AF391" s="3">
        <v>0</v>
      </c>
      <c r="AG391" s="3">
        <v>0.38550000000000001</v>
      </c>
      <c r="AH391" s="3">
        <v>-2.3246099999999999E-2</v>
      </c>
      <c r="AI391" s="3">
        <v>50.623899999999999</v>
      </c>
      <c r="AJ391" s="3">
        <v>0.430064</v>
      </c>
      <c r="AK391" s="3">
        <v>0.47021200000000002</v>
      </c>
      <c r="AL391" s="3">
        <v>0</v>
      </c>
      <c r="AM391" s="3">
        <v>9.2224100000000003E-3</v>
      </c>
      <c r="AN391" s="3">
        <v>-0.47553200000000001</v>
      </c>
      <c r="AO391" s="3">
        <v>25.3626</v>
      </c>
      <c r="AP391" s="3">
        <v>4.6802499999999997E-2</v>
      </c>
      <c r="AQ391" s="3">
        <v>-4.8034100000000003E-2</v>
      </c>
      <c r="AR391" s="3">
        <v>0</v>
      </c>
      <c r="AS391" s="3">
        <v>8.39501E-2</v>
      </c>
      <c r="AT391" s="3">
        <v>0.61598399999999998</v>
      </c>
      <c r="AU391" s="3">
        <v>4.01349</v>
      </c>
      <c r="AV391" s="3">
        <v>0.10630100000000001</v>
      </c>
      <c r="AW391" s="3">
        <v>1.8170900000000001</v>
      </c>
      <c r="AX391" s="3">
        <v>0</v>
      </c>
      <c r="AY391" s="3">
        <v>1.01379E-2</v>
      </c>
      <c r="AZ391" s="21">
        <v>-0.60889800000000005</v>
      </c>
      <c r="BA391" s="3">
        <v>35.584000000000003</v>
      </c>
      <c r="BB391" s="3">
        <v>5</v>
      </c>
    </row>
    <row r="392" spans="1:54" s="3" customFormat="1" ht="126" customHeight="1" x14ac:dyDescent="0.25">
      <c r="A392" s="2">
        <v>390</v>
      </c>
      <c r="B392" s="3">
        <v>10</v>
      </c>
      <c r="C392" s="2">
        <v>1</v>
      </c>
      <c r="D392" s="9">
        <v>86</v>
      </c>
      <c r="E392" s="3" t="s">
        <v>53</v>
      </c>
      <c r="F392" s="3">
        <f>IF(E393="Happy", 1,2)</f>
        <v>2</v>
      </c>
      <c r="G392" s="11"/>
      <c r="H392" s="3" t="s">
        <v>76</v>
      </c>
      <c r="I392" s="3">
        <f t="shared" si="51"/>
        <v>2</v>
      </c>
      <c r="J392" s="3" t="s">
        <v>82</v>
      </c>
      <c r="K392" s="3">
        <v>6</v>
      </c>
      <c r="L392" s="6" t="s">
        <v>208</v>
      </c>
      <c r="M392" s="3">
        <v>-46</v>
      </c>
      <c r="N392" s="3">
        <f t="shared" si="52"/>
        <v>-0.46</v>
      </c>
      <c r="O392" s="3">
        <v>-23</v>
      </c>
      <c r="P392" s="3">
        <v>-0.23</v>
      </c>
      <c r="Q392" s="17">
        <v>0.27763888888888888</v>
      </c>
      <c r="R392" s="21">
        <v>0.25949104812389462</v>
      </c>
      <c r="S392" s="3">
        <v>8</v>
      </c>
      <c r="T392" s="3">
        <v>197</v>
      </c>
      <c r="U392" s="3">
        <v>251.41</v>
      </c>
      <c r="V392" s="26">
        <v>0.60915043365536103</v>
      </c>
      <c r="W392" s="18">
        <v>1.1436668301219099</v>
      </c>
      <c r="X392" s="18">
        <v>0.61792808022538404</v>
      </c>
      <c r="Y392" s="18">
        <v>0.28671571401007001</v>
      </c>
      <c r="Z392" s="18">
        <v>0.73048415808502498</v>
      </c>
      <c r="AA392" s="18">
        <v>0.110340291493901</v>
      </c>
      <c r="AB392" s="18">
        <v>-0.20222530215141399</v>
      </c>
      <c r="AC392" s="18">
        <v>1.0915144017115099</v>
      </c>
      <c r="AD392" s="18">
        <v>-0.52936815300809703</v>
      </c>
      <c r="AE392" s="21">
        <v>0.227757017698965</v>
      </c>
      <c r="AF392" s="3">
        <v>0</v>
      </c>
      <c r="AG392" s="3">
        <v>0.310423</v>
      </c>
      <c r="AH392" s="3">
        <v>-0.26684999999999998</v>
      </c>
      <c r="AI392" s="3">
        <v>48.657600000000002</v>
      </c>
      <c r="AJ392" s="3">
        <v>0.461254</v>
      </c>
      <c r="AK392" s="3">
        <v>1.14994</v>
      </c>
      <c r="AL392" s="3">
        <v>0</v>
      </c>
      <c r="AM392" s="3">
        <v>0.167687</v>
      </c>
      <c r="AN392" s="3">
        <v>-7.4175599999999994E-2</v>
      </c>
      <c r="AO392" s="3">
        <v>21.272500000000001</v>
      </c>
      <c r="AP392" s="3">
        <v>7.2670200000000004E-2</v>
      </c>
      <c r="AQ392" s="3">
        <v>0.163381</v>
      </c>
      <c r="AR392" s="3">
        <v>0</v>
      </c>
      <c r="AS392" s="3">
        <v>0</v>
      </c>
      <c r="AT392" s="3">
        <v>-0.57246799999999998</v>
      </c>
      <c r="AU392" s="3">
        <v>0.70614200000000005</v>
      </c>
      <c r="AV392" s="3">
        <v>9.4322100000000006E-2</v>
      </c>
      <c r="AW392" s="3">
        <v>1.87216</v>
      </c>
      <c r="AX392" s="3">
        <v>0.176535</v>
      </c>
      <c r="AY392" s="3">
        <v>0.108817</v>
      </c>
      <c r="AZ392" s="21">
        <v>5.3068099999999996</v>
      </c>
      <c r="BA392" s="3">
        <v>54.405000000000001</v>
      </c>
      <c r="BB392" s="3">
        <v>6</v>
      </c>
    </row>
    <row r="393" spans="1:54" s="3" customFormat="1" ht="63" customHeight="1" x14ac:dyDescent="0.25">
      <c r="A393" s="2">
        <v>391</v>
      </c>
      <c r="B393" s="3">
        <v>10</v>
      </c>
      <c r="C393" s="2">
        <v>1</v>
      </c>
      <c r="D393" s="9">
        <v>86</v>
      </c>
      <c r="E393" s="3" t="s">
        <v>53</v>
      </c>
      <c r="F393" s="3">
        <f t="shared" ref="F393:F400" si="53">IF(E393="Happy", 1,2)</f>
        <v>2</v>
      </c>
      <c r="G393" s="11"/>
      <c r="H393" s="3" t="s">
        <v>76</v>
      </c>
      <c r="I393" s="3">
        <f t="shared" si="51"/>
        <v>2</v>
      </c>
      <c r="J393" s="3" t="s">
        <v>83</v>
      </c>
      <c r="K393" s="3">
        <v>7</v>
      </c>
      <c r="L393" s="6" t="s">
        <v>147</v>
      </c>
      <c r="M393" s="3">
        <v>-46</v>
      </c>
      <c r="N393" s="3">
        <f t="shared" si="52"/>
        <v>-0.46</v>
      </c>
      <c r="O393" s="3">
        <v>-23</v>
      </c>
      <c r="P393" s="3">
        <v>-0.23</v>
      </c>
      <c r="Q393" s="17">
        <v>4.3750000000000011E-2</v>
      </c>
      <c r="R393" s="21">
        <v>0.18071040368501201</v>
      </c>
      <c r="S393" s="3">
        <v>9</v>
      </c>
      <c r="T393" s="3">
        <v>251.41</v>
      </c>
      <c r="U393" s="3">
        <v>272.86</v>
      </c>
      <c r="V393" s="26">
        <v>0.55050354599069395</v>
      </c>
      <c r="W393" s="18">
        <v>5.8335653310568399E-2</v>
      </c>
      <c r="X393" s="18">
        <v>-0.30783311455821899</v>
      </c>
      <c r="Y393" s="18">
        <v>0.74626736636004198</v>
      </c>
      <c r="Z393" s="18">
        <v>1.2024970076510899</v>
      </c>
      <c r="AA393" s="18">
        <v>0.108286320172258</v>
      </c>
      <c r="AB393" s="18">
        <v>-0.38959280058614099</v>
      </c>
      <c r="AC393" s="18">
        <v>0.33000237422930101</v>
      </c>
      <c r="AD393" s="18">
        <v>-0.94168069738192095</v>
      </c>
      <c r="AE393" s="21">
        <v>0.83990854228066703</v>
      </c>
      <c r="AF393" s="3">
        <v>0.67226900000000001</v>
      </c>
      <c r="AG393" s="3">
        <v>0.28324300000000002</v>
      </c>
      <c r="AH393" s="3">
        <v>3.9276499999999999</v>
      </c>
      <c r="AI393" s="3">
        <v>53.949599999999997</v>
      </c>
      <c r="AJ393" s="3">
        <v>0.362288</v>
      </c>
      <c r="AK393" s="3">
        <v>0.52758400000000005</v>
      </c>
      <c r="AL393" s="3">
        <v>0</v>
      </c>
      <c r="AM393" s="3">
        <v>6.1272499999999999E-3</v>
      </c>
      <c r="AN393" s="3">
        <v>-0.50111700000000003</v>
      </c>
      <c r="AO393" s="3">
        <v>15.126099999999999</v>
      </c>
      <c r="AP393" s="3">
        <v>0.13036900000000001</v>
      </c>
      <c r="AQ393" s="3">
        <v>0.66114799999999996</v>
      </c>
      <c r="AR393" s="3">
        <v>0</v>
      </c>
      <c r="AS393" s="3">
        <v>5.6439799999999998E-2</v>
      </c>
      <c r="AT393" s="3">
        <v>-0.40181800000000001</v>
      </c>
      <c r="AU393" s="3">
        <v>0.44817899999999999</v>
      </c>
      <c r="AV393" s="3">
        <v>0.16578300000000001</v>
      </c>
      <c r="AW393" s="3">
        <v>2.55647</v>
      </c>
      <c r="AX393" s="3">
        <v>0</v>
      </c>
      <c r="AY393" s="3">
        <v>5.11999E-2</v>
      </c>
      <c r="AZ393" s="21">
        <v>-0.53544400000000003</v>
      </c>
      <c r="BA393" s="3">
        <v>21.451000000000001</v>
      </c>
      <c r="BB393" s="3">
        <v>7</v>
      </c>
    </row>
    <row r="394" spans="1:54" s="3" customFormat="1" ht="47.25" customHeight="1" x14ac:dyDescent="0.25">
      <c r="A394" s="2">
        <v>392</v>
      </c>
      <c r="B394" s="3">
        <v>10</v>
      </c>
      <c r="C394" s="2">
        <v>1</v>
      </c>
      <c r="D394" s="9">
        <v>86</v>
      </c>
      <c r="E394" s="3" t="s">
        <v>53</v>
      </c>
      <c r="F394" s="3">
        <f t="shared" si="53"/>
        <v>2</v>
      </c>
      <c r="G394" s="11"/>
      <c r="H394" s="3" t="s">
        <v>76</v>
      </c>
      <c r="I394" s="3">
        <f t="shared" si="51"/>
        <v>2</v>
      </c>
      <c r="J394" s="3" t="s">
        <v>94</v>
      </c>
      <c r="K394" s="3">
        <v>8</v>
      </c>
      <c r="L394" s="6" t="s">
        <v>146</v>
      </c>
      <c r="M394" s="3">
        <v>-46</v>
      </c>
      <c r="N394" s="3">
        <f t="shared" si="52"/>
        <v>-0.46</v>
      </c>
      <c r="O394" s="3">
        <v>-23</v>
      </c>
      <c r="P394" s="3">
        <v>-0.23</v>
      </c>
      <c r="Q394" s="17">
        <v>2.777777777777779E-2</v>
      </c>
      <c r="R394" s="21">
        <v>0.32503561058466829</v>
      </c>
      <c r="S394" s="3">
        <v>10</v>
      </c>
      <c r="T394" s="3">
        <v>272.86</v>
      </c>
      <c r="U394" s="3">
        <v>288.7</v>
      </c>
      <c r="V394" s="26">
        <v>1.21420203020481</v>
      </c>
      <c r="W394" s="18">
        <v>1.9859530559973999</v>
      </c>
      <c r="X394" s="18">
        <v>0.57984167288453203</v>
      </c>
      <c r="Y394" s="18">
        <v>-0.94841127403721703</v>
      </c>
      <c r="Z394" s="18">
        <v>1.2620964477365899</v>
      </c>
      <c r="AA394" s="18">
        <v>0.22858529568296601</v>
      </c>
      <c r="AB394" s="18">
        <v>-2.5752977486608799</v>
      </c>
      <c r="AC394" s="18">
        <v>-0.26586353247127897</v>
      </c>
      <c r="AD394" s="18">
        <v>-1.9764135004139201</v>
      </c>
      <c r="AE394" s="21">
        <v>-1.76458707472844</v>
      </c>
      <c r="AF394" s="3">
        <v>25.909099999999999</v>
      </c>
      <c r="AG394" s="3">
        <v>7.4322299999999994E-2</v>
      </c>
      <c r="AH394" s="3">
        <v>2.9423599999999999</v>
      </c>
      <c r="AI394" s="3">
        <v>59.242400000000004</v>
      </c>
      <c r="AJ394" s="3">
        <v>0.31838499999999997</v>
      </c>
      <c r="AK394" s="3">
        <v>0.75692599999999999</v>
      </c>
      <c r="AL394" s="3">
        <v>0</v>
      </c>
      <c r="AM394" s="3">
        <v>4.8421200000000001E-3</v>
      </c>
      <c r="AN394" s="3">
        <v>-0.50418300000000005</v>
      </c>
      <c r="AO394" s="3">
        <v>43.181800000000003</v>
      </c>
      <c r="AP394" s="3">
        <v>0.24132400000000001</v>
      </c>
      <c r="AQ394" s="3">
        <v>0.65163700000000002</v>
      </c>
      <c r="AR394" s="3">
        <v>0</v>
      </c>
      <c r="AS394" s="3">
        <v>0</v>
      </c>
      <c r="AT394" s="3">
        <v>-0.57246799999999998</v>
      </c>
      <c r="AU394" s="3">
        <v>1.6666700000000001</v>
      </c>
      <c r="AV394" s="3">
        <v>0.26156800000000002</v>
      </c>
      <c r="AW394" s="3">
        <v>2.26153</v>
      </c>
      <c r="AX394" s="3">
        <v>0</v>
      </c>
      <c r="AY394" s="3">
        <v>0.21182000000000001</v>
      </c>
      <c r="AZ394" s="21">
        <v>-0.122862</v>
      </c>
      <c r="BA394" s="3">
        <v>15.847</v>
      </c>
      <c r="BB394" s="3">
        <v>8</v>
      </c>
    </row>
    <row r="395" spans="1:54" s="3" customFormat="1" ht="94.5" customHeight="1" x14ac:dyDescent="0.25">
      <c r="A395" s="2">
        <v>393</v>
      </c>
      <c r="B395" s="3">
        <v>10</v>
      </c>
      <c r="C395" s="2">
        <v>1</v>
      </c>
      <c r="D395" s="9">
        <v>86</v>
      </c>
      <c r="E395" s="3" t="s">
        <v>53</v>
      </c>
      <c r="F395" s="3">
        <f t="shared" si="53"/>
        <v>2</v>
      </c>
      <c r="G395" s="11"/>
      <c r="H395" s="3" t="s">
        <v>76</v>
      </c>
      <c r="I395" s="3">
        <f t="shared" si="51"/>
        <v>2</v>
      </c>
      <c r="J395" s="3" t="s">
        <v>95</v>
      </c>
      <c r="K395" s="3">
        <v>9</v>
      </c>
      <c r="L395" s="6" t="s">
        <v>175</v>
      </c>
      <c r="M395" s="3">
        <v>-46</v>
      </c>
      <c r="N395" s="3">
        <f t="shared" si="52"/>
        <v>-0.46</v>
      </c>
      <c r="O395" s="3">
        <v>-23</v>
      </c>
      <c r="P395" s="3">
        <v>-0.23</v>
      </c>
      <c r="Q395" s="17">
        <v>4.5833333333333337E-2</v>
      </c>
      <c r="R395" s="21">
        <v>0.35641443573458131</v>
      </c>
      <c r="S395" s="3">
        <v>11</v>
      </c>
      <c r="T395" s="3">
        <v>288.7</v>
      </c>
      <c r="U395" s="3">
        <v>321.14999999999998</v>
      </c>
      <c r="V395" s="26">
        <v>1.3361910835166999</v>
      </c>
      <c r="W395" s="18">
        <v>1.6056467222538999</v>
      </c>
      <c r="X395" s="18">
        <v>-2.8153443126591599E-2</v>
      </c>
      <c r="Y395" s="18">
        <v>0.86441032775520299</v>
      </c>
      <c r="Z395" s="18">
        <v>0.54113943485042004</v>
      </c>
      <c r="AA395" s="18">
        <v>-0.17293068439958101</v>
      </c>
      <c r="AB395" s="18">
        <v>0.358849241789787</v>
      </c>
      <c r="AC395" s="18">
        <v>0.191043684018047</v>
      </c>
      <c r="AD395" s="18">
        <v>0.30806505840020498</v>
      </c>
      <c r="AE395" s="21">
        <v>-1.2626988682390901</v>
      </c>
      <c r="AF395" s="3">
        <v>2.9241199999999998</v>
      </c>
      <c r="AG395" s="3">
        <v>0.123441</v>
      </c>
      <c r="AH395" s="3">
        <v>3.1850999999999998</v>
      </c>
      <c r="AI395" s="3">
        <v>49.376899999999999</v>
      </c>
      <c r="AJ395" s="3">
        <v>0.196378</v>
      </c>
      <c r="AK395" s="3">
        <v>0.124555</v>
      </c>
      <c r="AL395" s="3">
        <v>0</v>
      </c>
      <c r="AM395" s="3">
        <v>0</v>
      </c>
      <c r="AN395" s="3">
        <v>-0.51049999999999995</v>
      </c>
      <c r="AO395" s="3">
        <v>35.348599999999998</v>
      </c>
      <c r="AP395" s="3">
        <v>0.17667099999999999</v>
      </c>
      <c r="AQ395" s="3">
        <v>0.59761500000000001</v>
      </c>
      <c r="AR395" s="3">
        <v>0</v>
      </c>
      <c r="AS395" s="3">
        <v>0.39350200000000002</v>
      </c>
      <c r="AT395" s="3">
        <v>0.90471599999999996</v>
      </c>
      <c r="AU395" s="3">
        <v>4.3676700000000004</v>
      </c>
      <c r="AV395" s="3">
        <v>6.2182500000000002E-2</v>
      </c>
      <c r="AW395" s="3">
        <v>1.79765</v>
      </c>
      <c r="AX395" s="3">
        <v>0</v>
      </c>
      <c r="AY395" s="3">
        <v>1.22474E-2</v>
      </c>
      <c r="AZ395" s="21">
        <v>-0.607128</v>
      </c>
      <c r="BA395" s="3">
        <v>32.445</v>
      </c>
      <c r="BB395" s="3">
        <v>9</v>
      </c>
    </row>
    <row r="396" spans="1:54" s="3" customFormat="1" ht="63" customHeight="1" x14ac:dyDescent="0.25">
      <c r="A396" s="2">
        <v>394</v>
      </c>
      <c r="B396" s="3">
        <v>10</v>
      </c>
      <c r="C396" s="2">
        <v>1</v>
      </c>
      <c r="D396" s="9">
        <v>86</v>
      </c>
      <c r="E396" s="3" t="s">
        <v>53</v>
      </c>
      <c r="F396" s="3">
        <f t="shared" si="53"/>
        <v>2</v>
      </c>
      <c r="G396" s="11"/>
      <c r="H396" s="3" t="s">
        <v>76</v>
      </c>
      <c r="I396" s="3">
        <f t="shared" si="51"/>
        <v>2</v>
      </c>
      <c r="J396" s="3" t="s">
        <v>96</v>
      </c>
      <c r="K396" s="3">
        <v>10</v>
      </c>
      <c r="L396" s="6" t="s">
        <v>155</v>
      </c>
      <c r="M396" s="3">
        <v>-46</v>
      </c>
      <c r="N396" s="3">
        <f t="shared" si="52"/>
        <v>-0.46</v>
      </c>
      <c r="O396" s="3">
        <v>-23</v>
      </c>
      <c r="P396" s="3">
        <v>-0.23</v>
      </c>
      <c r="Q396" s="17">
        <v>-8.3333333333333343E-2</v>
      </c>
      <c r="R396" s="21">
        <v>0.28235123910162357</v>
      </c>
      <c r="S396" s="3">
        <v>12</v>
      </c>
      <c r="T396" s="3">
        <v>321.14999999999998</v>
      </c>
      <c r="U396" s="3">
        <v>339.74</v>
      </c>
      <c r="V396" s="26">
        <v>-1.2389815196638601</v>
      </c>
      <c r="W396" s="18">
        <v>-0.82962890514480003</v>
      </c>
      <c r="X396" s="18">
        <v>0.23579808292002799</v>
      </c>
      <c r="Y396" s="18">
        <v>-0.98725339411129298</v>
      </c>
      <c r="Z396" s="18">
        <v>-0.65808468983301105</v>
      </c>
      <c r="AA396" s="18">
        <v>-0.59148046113230601</v>
      </c>
      <c r="AB396" s="18">
        <v>0.58906362203614704</v>
      </c>
      <c r="AC396" s="18">
        <v>-1.2261509048914401</v>
      </c>
      <c r="AD396" s="18">
        <v>-0.78934579169456598</v>
      </c>
      <c r="AE396" s="21">
        <v>-0.24941699680416199</v>
      </c>
      <c r="AF396" s="3">
        <v>2.0043099999999998</v>
      </c>
      <c r="AG396" s="3">
        <v>0.41566999999999998</v>
      </c>
      <c r="AH396" s="3">
        <v>4.0528899999999997</v>
      </c>
      <c r="AI396" s="3">
        <v>49.137900000000002</v>
      </c>
      <c r="AJ396" s="3">
        <v>0.30648500000000001</v>
      </c>
      <c r="AK396" s="3">
        <v>0.39421499999999998</v>
      </c>
      <c r="AL396" s="3">
        <v>0</v>
      </c>
      <c r="AM396" s="3">
        <v>4.2187500000000003E-2</v>
      </c>
      <c r="AN396" s="3">
        <v>-0.39679799999999998</v>
      </c>
      <c r="AO396" s="3">
        <v>20.754300000000001</v>
      </c>
      <c r="AP396" s="3">
        <v>0.145592</v>
      </c>
      <c r="AQ396" s="3">
        <v>0.123318</v>
      </c>
      <c r="AR396" s="3">
        <v>0</v>
      </c>
      <c r="AS396" s="3">
        <v>0</v>
      </c>
      <c r="AT396" s="3">
        <v>-0.57246799999999998</v>
      </c>
      <c r="AU396" s="3">
        <v>0</v>
      </c>
      <c r="AV396" s="3">
        <v>0.170265</v>
      </c>
      <c r="AW396" s="3">
        <v>1.00563</v>
      </c>
      <c r="AX396" s="3">
        <v>0</v>
      </c>
      <c r="AY396" s="3">
        <v>6.0602999999999997E-2</v>
      </c>
      <c r="AZ396" s="21">
        <v>-0.49561899999999998</v>
      </c>
      <c r="BA396" s="3">
        <v>18.585999999999999</v>
      </c>
      <c r="BB396" s="3">
        <v>10</v>
      </c>
    </row>
    <row r="397" spans="1:54" s="3" customFormat="1" ht="63" customHeight="1" x14ac:dyDescent="0.25">
      <c r="A397" s="2">
        <v>395</v>
      </c>
      <c r="B397" s="3">
        <v>10</v>
      </c>
      <c r="C397" s="2">
        <v>1</v>
      </c>
      <c r="D397" s="9">
        <v>86</v>
      </c>
      <c r="E397" s="3" t="s">
        <v>53</v>
      </c>
      <c r="F397" s="3">
        <f t="shared" si="53"/>
        <v>2</v>
      </c>
      <c r="G397" s="11"/>
      <c r="H397" s="3" t="s">
        <v>76</v>
      </c>
      <c r="I397" s="3">
        <f t="shared" si="51"/>
        <v>2</v>
      </c>
      <c r="J397" s="3" t="s">
        <v>99</v>
      </c>
      <c r="K397" s="3">
        <v>11</v>
      </c>
      <c r="L397" s="6" t="s">
        <v>156</v>
      </c>
      <c r="M397" s="3">
        <v>-46</v>
      </c>
      <c r="N397" s="3">
        <f t="shared" si="52"/>
        <v>-0.46</v>
      </c>
      <c r="O397" s="3">
        <v>-23</v>
      </c>
      <c r="P397" s="3">
        <v>-0.23</v>
      </c>
      <c r="Q397" s="17">
        <v>0.17741666666666669</v>
      </c>
      <c r="R397" s="21">
        <v>0.39038980697360542</v>
      </c>
      <c r="S397" s="3">
        <v>13</v>
      </c>
      <c r="T397" s="3">
        <v>339.74</v>
      </c>
      <c r="U397" s="3">
        <v>373.49</v>
      </c>
      <c r="V397" s="26">
        <v>-1.51033772607321</v>
      </c>
      <c r="W397" s="18">
        <v>0.12035487170637001</v>
      </c>
      <c r="X397" s="18">
        <v>-1.2345533425969999</v>
      </c>
      <c r="Y397" s="18">
        <v>-1.27907175178818</v>
      </c>
      <c r="Z397" s="18">
        <v>-0.21378680623263599</v>
      </c>
      <c r="AA397" s="18">
        <v>4.40465964229418E-2</v>
      </c>
      <c r="AB397" s="18">
        <v>-6.2657542095420404E-2</v>
      </c>
      <c r="AC397" s="18">
        <v>0.72755306410520704</v>
      </c>
      <c r="AD397" s="18">
        <v>0.25437994852469797</v>
      </c>
      <c r="AE397" s="21">
        <v>-0.29504319739410301</v>
      </c>
      <c r="AF397" s="3">
        <v>0</v>
      </c>
      <c r="AG397" s="3">
        <v>0.39766600000000002</v>
      </c>
      <c r="AH397" s="3">
        <v>1.41469E-2</v>
      </c>
      <c r="AI397" s="3">
        <v>52.104300000000002</v>
      </c>
      <c r="AJ397" s="3">
        <v>0.182618</v>
      </c>
      <c r="AK397" s="3">
        <v>1.1928399999999999</v>
      </c>
      <c r="AL397" s="3">
        <v>0</v>
      </c>
      <c r="AM397" s="3">
        <v>1.8325699999999999E-3</v>
      </c>
      <c r="AN397" s="3">
        <v>-0.50824899999999995</v>
      </c>
      <c r="AO397" s="3">
        <v>36.206299999999999</v>
      </c>
      <c r="AP397" s="3">
        <v>0.149756</v>
      </c>
      <c r="AQ397" s="3">
        <v>0.35560999999999998</v>
      </c>
      <c r="AR397" s="3">
        <v>0</v>
      </c>
      <c r="AS397" s="3">
        <v>0</v>
      </c>
      <c r="AT397" s="3">
        <v>-0.57246799999999998</v>
      </c>
      <c r="AU397" s="3">
        <v>4.7302900000000001</v>
      </c>
      <c r="AV397" s="3">
        <v>0.15683</v>
      </c>
      <c r="AW397" s="3">
        <v>2.2343199999999999</v>
      </c>
      <c r="AX397" s="3">
        <v>0</v>
      </c>
      <c r="AY397" s="3">
        <v>0</v>
      </c>
      <c r="AZ397" s="21">
        <v>-0.623058</v>
      </c>
      <c r="BA397" s="3">
        <v>33.753999999999998</v>
      </c>
      <c r="BB397" s="3">
        <v>11</v>
      </c>
    </row>
    <row r="398" spans="1:54" s="3" customFormat="1" ht="78.75" customHeight="1" x14ac:dyDescent="0.25">
      <c r="A398" s="2">
        <v>396</v>
      </c>
      <c r="B398" s="3">
        <v>10</v>
      </c>
      <c r="C398" s="2">
        <v>1</v>
      </c>
      <c r="D398" s="9">
        <v>86</v>
      </c>
      <c r="E398" s="3" t="s">
        <v>53</v>
      </c>
      <c r="F398" s="3">
        <f t="shared" si="53"/>
        <v>2</v>
      </c>
      <c r="G398" s="11"/>
      <c r="H398" s="3" t="s">
        <v>76</v>
      </c>
      <c r="I398" s="3">
        <f t="shared" si="51"/>
        <v>2</v>
      </c>
      <c r="J398" s="3" t="s">
        <v>100</v>
      </c>
      <c r="K398" s="3">
        <v>12</v>
      </c>
      <c r="L398" s="6" t="s">
        <v>160</v>
      </c>
      <c r="M398" s="3">
        <v>-46</v>
      </c>
      <c r="N398" s="3">
        <f t="shared" si="52"/>
        <v>-0.46</v>
      </c>
      <c r="O398" s="3">
        <v>-23</v>
      </c>
      <c r="P398" s="3">
        <v>-0.23</v>
      </c>
      <c r="Q398" s="17">
        <v>-0.2895833333333333</v>
      </c>
      <c r="R398" s="21">
        <v>0.2538493335169193</v>
      </c>
      <c r="S398" s="3">
        <v>14</v>
      </c>
      <c r="T398" s="3">
        <v>373.49</v>
      </c>
      <c r="U398" s="3">
        <v>401.98</v>
      </c>
      <c r="V398" s="26">
        <v>-0.87869057606861101</v>
      </c>
      <c r="W398" s="18">
        <v>-0.48888850714576598</v>
      </c>
      <c r="X398" s="18">
        <v>-0.59805575824182899</v>
      </c>
      <c r="Y398" s="18">
        <v>-1.60754763335949</v>
      </c>
      <c r="Z398" s="18">
        <v>-9.2012641613489002E-2</v>
      </c>
      <c r="AA398" s="18">
        <v>-0.48130968903521598</v>
      </c>
      <c r="AB398" s="18">
        <v>-3.5104531386041802</v>
      </c>
      <c r="AC398" s="18">
        <v>0.68061999655041405</v>
      </c>
      <c r="AD398" s="18">
        <v>-0.28955649468095501</v>
      </c>
      <c r="AE398" s="21">
        <v>-0.69237136086483397</v>
      </c>
      <c r="AF398" s="3">
        <v>9.6556599999999992</v>
      </c>
      <c r="AG398" s="3">
        <v>0.122569</v>
      </c>
      <c r="AH398" s="3">
        <v>3.2893599999999998</v>
      </c>
      <c r="AI398" s="3">
        <v>56.458199999999998</v>
      </c>
      <c r="AJ398" s="3">
        <v>0.250886</v>
      </c>
      <c r="AK398" s="3">
        <v>0.97868999999999995</v>
      </c>
      <c r="AL398" s="3">
        <v>0</v>
      </c>
      <c r="AM398" s="3">
        <v>0</v>
      </c>
      <c r="AN398" s="3">
        <v>-0.51049999999999995</v>
      </c>
      <c r="AO398" s="3">
        <v>31.665500000000002</v>
      </c>
      <c r="AP398" s="3">
        <v>6.9661899999999999E-2</v>
      </c>
      <c r="AQ398" s="3">
        <v>0.19202</v>
      </c>
      <c r="AR398" s="3">
        <v>0</v>
      </c>
      <c r="AS398" s="3">
        <v>0</v>
      </c>
      <c r="AT398" s="3">
        <v>-0.57246799999999998</v>
      </c>
      <c r="AU398" s="3">
        <v>0</v>
      </c>
      <c r="AV398" s="3">
        <v>8.94427E-2</v>
      </c>
      <c r="AW398" s="3">
        <v>0.30106500000000003</v>
      </c>
      <c r="AX398" s="3">
        <v>0</v>
      </c>
      <c r="AY398" s="3">
        <v>0.13983100000000001</v>
      </c>
      <c r="AZ398" s="21">
        <v>0.127413</v>
      </c>
      <c r="BA398" s="3">
        <v>28.486999999999998</v>
      </c>
      <c r="BB398" s="3">
        <v>12</v>
      </c>
    </row>
    <row r="399" spans="1:54" s="3" customFormat="1" ht="63" customHeight="1" x14ac:dyDescent="0.25">
      <c r="A399" s="2">
        <v>397</v>
      </c>
      <c r="B399" s="3">
        <v>10</v>
      </c>
      <c r="C399" s="2">
        <v>1</v>
      </c>
      <c r="D399" s="9">
        <v>86</v>
      </c>
      <c r="E399" s="3" t="s">
        <v>53</v>
      </c>
      <c r="F399" s="3">
        <f t="shared" si="53"/>
        <v>2</v>
      </c>
      <c r="G399" s="11"/>
      <c r="H399" s="3" t="s">
        <v>76</v>
      </c>
      <c r="I399" s="3">
        <f t="shared" si="51"/>
        <v>2</v>
      </c>
      <c r="J399" s="3" t="s">
        <v>101</v>
      </c>
      <c r="K399" s="3">
        <v>13</v>
      </c>
      <c r="L399" s="6" t="s">
        <v>223</v>
      </c>
      <c r="M399" s="3">
        <v>-46</v>
      </c>
      <c r="N399" s="3">
        <f t="shared" si="52"/>
        <v>-0.46</v>
      </c>
      <c r="O399" s="3">
        <v>-23</v>
      </c>
      <c r="P399" s="3">
        <v>-0.23</v>
      </c>
      <c r="Q399" s="17">
        <v>0.25</v>
      </c>
      <c r="R399" s="21">
        <v>0.35956322710437771</v>
      </c>
      <c r="S399" s="3">
        <v>15</v>
      </c>
      <c r="T399" s="3">
        <v>401.98</v>
      </c>
      <c r="U399" s="3">
        <v>428.49</v>
      </c>
      <c r="V399" s="26">
        <v>-1.05196396847159</v>
      </c>
      <c r="W399" s="18">
        <v>-1.1992025286200301</v>
      </c>
      <c r="X399" s="18">
        <v>-0.79835305036440696</v>
      </c>
      <c r="Y399" s="18">
        <v>-0.79985873382140704</v>
      </c>
      <c r="Z399" s="18">
        <v>-1.17203788612591</v>
      </c>
      <c r="AA399" s="18">
        <v>-1.2622791641419699</v>
      </c>
      <c r="AB399" s="18">
        <v>-0.859413298531576</v>
      </c>
      <c r="AC399" s="18">
        <v>-0.85620790181246997</v>
      </c>
      <c r="AD399" s="18">
        <v>-9.9614760755935394E-2</v>
      </c>
      <c r="AE399" s="21">
        <v>1.09085264552534</v>
      </c>
      <c r="AF399" s="3">
        <v>6.02264</v>
      </c>
      <c r="AG399" s="3">
        <v>0.20406099999999999</v>
      </c>
      <c r="AH399" s="3">
        <v>4.3848000000000003</v>
      </c>
      <c r="AI399" s="3">
        <v>43.607500000000002</v>
      </c>
      <c r="AJ399" s="3">
        <v>0.160805</v>
      </c>
      <c r="AK399" s="3">
        <v>0.16895199999999999</v>
      </c>
      <c r="AL399" s="3">
        <v>0</v>
      </c>
      <c r="AM399" s="3">
        <v>4.8832500000000001E-2</v>
      </c>
      <c r="AN399" s="3">
        <v>-0.31468000000000002</v>
      </c>
      <c r="AO399" s="3">
        <v>37.358499999999999</v>
      </c>
      <c r="AP399" s="3">
        <v>0.17544999999999999</v>
      </c>
      <c r="AQ399" s="3">
        <v>0.29949799999999999</v>
      </c>
      <c r="AR399" s="3">
        <v>0</v>
      </c>
      <c r="AS399" s="3">
        <v>6.76123E-2</v>
      </c>
      <c r="AT399" s="3">
        <v>-0.389629</v>
      </c>
      <c r="AU399" s="3">
        <v>3.07925</v>
      </c>
      <c r="AV399" s="3">
        <v>0.19317400000000001</v>
      </c>
      <c r="AW399" s="3">
        <v>2.4586899999999998</v>
      </c>
      <c r="AX399" s="3">
        <v>0</v>
      </c>
      <c r="AY399" s="3">
        <v>0</v>
      </c>
      <c r="AZ399" s="21">
        <v>-0.623058</v>
      </c>
      <c r="BA399" s="3">
        <v>26.513000000000002</v>
      </c>
      <c r="BB399" s="3">
        <v>13</v>
      </c>
    </row>
    <row r="400" spans="1:54" s="3" customFormat="1" ht="63" customHeight="1" x14ac:dyDescent="0.25">
      <c r="A400" s="2">
        <v>398</v>
      </c>
      <c r="B400" s="3">
        <v>10</v>
      </c>
      <c r="C400" s="2">
        <v>1</v>
      </c>
      <c r="D400" s="9">
        <v>86</v>
      </c>
      <c r="E400" s="3" t="s">
        <v>53</v>
      </c>
      <c r="F400" s="3">
        <f t="shared" si="53"/>
        <v>2</v>
      </c>
      <c r="G400" s="11" t="s">
        <v>84</v>
      </c>
      <c r="H400" s="3" t="s">
        <v>84</v>
      </c>
      <c r="I400" s="3">
        <f t="shared" si="51"/>
        <v>3</v>
      </c>
      <c r="J400" s="3" t="s">
        <v>85</v>
      </c>
      <c r="K400" s="3">
        <v>1</v>
      </c>
      <c r="L400" s="6" t="s">
        <v>148</v>
      </c>
      <c r="M400" s="3">
        <v>-23</v>
      </c>
      <c r="N400" s="3">
        <f t="shared" si="52"/>
        <v>-0.23</v>
      </c>
      <c r="O400" s="3">
        <v>2</v>
      </c>
      <c r="P400" s="3">
        <v>0.02</v>
      </c>
      <c r="Q400" s="17">
        <v>-6.7222222222222211E-2</v>
      </c>
      <c r="R400" s="21">
        <v>0.34224431746853912</v>
      </c>
      <c r="S400" s="3">
        <v>2</v>
      </c>
      <c r="T400" s="3">
        <v>88.12</v>
      </c>
      <c r="U400" s="3">
        <v>112.89</v>
      </c>
      <c r="V400" s="26">
        <v>-2.0855643878321</v>
      </c>
      <c r="W400" s="18">
        <v>-0.38360916030530801</v>
      </c>
      <c r="X400" s="18">
        <v>-1.9159208961847001</v>
      </c>
      <c r="Y400" s="18">
        <v>-1.5576951485400099</v>
      </c>
      <c r="Z400" s="18">
        <v>-3.0240353021162099</v>
      </c>
      <c r="AA400" s="18">
        <v>-2.81628553545811</v>
      </c>
      <c r="AB400" s="18">
        <v>0.28193978981383599</v>
      </c>
      <c r="AC400" s="18">
        <v>0.80347420279678805</v>
      </c>
      <c r="AD400" s="18">
        <v>0.747356414335832</v>
      </c>
      <c r="AE400" s="21">
        <v>9.13147320550102E-3</v>
      </c>
      <c r="AF400" s="3">
        <v>0</v>
      </c>
      <c r="AG400" s="3">
        <v>0.10067</v>
      </c>
      <c r="AH400" s="3">
        <v>-0.57857999999999998</v>
      </c>
      <c r="AI400" s="3">
        <v>46.962800000000001</v>
      </c>
      <c r="AJ400" s="3">
        <v>0.33309899999999998</v>
      </c>
      <c r="AK400" s="3">
        <v>1.4183600000000001</v>
      </c>
      <c r="AL400" s="3">
        <v>0</v>
      </c>
      <c r="AM400" s="3">
        <v>8.72724E-2</v>
      </c>
      <c r="AN400" s="3">
        <v>-0.17660899999999999</v>
      </c>
      <c r="AO400" s="3">
        <v>17.980599999999999</v>
      </c>
      <c r="AP400" s="3">
        <v>4.4271900000000003E-2</v>
      </c>
      <c r="AQ400" s="3">
        <v>0.18169299999999999</v>
      </c>
      <c r="AR400" s="3">
        <v>0</v>
      </c>
      <c r="AS400" s="3">
        <v>4.5460599999999997E-2</v>
      </c>
      <c r="AT400" s="3">
        <v>1.2410699999999999</v>
      </c>
      <c r="AU400" s="3">
        <v>0</v>
      </c>
      <c r="AV400" s="3">
        <v>8.6583300000000002E-2</v>
      </c>
      <c r="AW400" s="3">
        <v>0.10556</v>
      </c>
      <c r="AX400" s="3">
        <v>0</v>
      </c>
      <c r="AY400" s="3">
        <v>0</v>
      </c>
      <c r="AZ400" s="21">
        <v>-0.63454200000000005</v>
      </c>
      <c r="BA400" s="3">
        <v>24.765999999999998</v>
      </c>
      <c r="BB400" s="3">
        <v>1</v>
      </c>
    </row>
    <row r="401" spans="1:54" s="3" customFormat="1" ht="78.75" customHeight="1" x14ac:dyDescent="0.25">
      <c r="A401" s="2">
        <v>399</v>
      </c>
      <c r="B401" s="3">
        <v>10</v>
      </c>
      <c r="C401" s="2">
        <v>1</v>
      </c>
      <c r="D401" s="9">
        <v>86</v>
      </c>
      <c r="E401" s="3" t="s">
        <v>53</v>
      </c>
      <c r="F401" s="3">
        <f>IF(E412="Happy", 1,2)</f>
        <v>1</v>
      </c>
      <c r="G401" s="11"/>
      <c r="H401" s="3" t="s">
        <v>84</v>
      </c>
      <c r="I401" s="3">
        <f t="shared" si="51"/>
        <v>3</v>
      </c>
      <c r="J401" s="3" t="s">
        <v>86</v>
      </c>
      <c r="K401" s="3">
        <v>2</v>
      </c>
      <c r="L401" s="6" t="s">
        <v>154</v>
      </c>
      <c r="M401" s="3">
        <v>-23</v>
      </c>
      <c r="N401" s="3">
        <f t="shared" si="52"/>
        <v>-0.23</v>
      </c>
      <c r="O401" s="3">
        <v>2</v>
      </c>
      <c r="P401" s="3">
        <v>0.02</v>
      </c>
      <c r="Q401" s="17">
        <v>4.8809523809523823E-2</v>
      </c>
      <c r="R401" s="21">
        <v>0.31864980529210812</v>
      </c>
      <c r="S401" s="3">
        <v>4</v>
      </c>
      <c r="T401" s="3">
        <v>146.69</v>
      </c>
      <c r="U401" s="3">
        <v>185.44</v>
      </c>
      <c r="V401" s="26">
        <v>-1.66811449677791</v>
      </c>
      <c r="W401" s="18">
        <v>-0.94017684993094497</v>
      </c>
      <c r="X401" s="18">
        <v>-0.62696741410809298</v>
      </c>
      <c r="Y401" s="18">
        <v>-1.05025714793223</v>
      </c>
      <c r="Z401" s="18">
        <v>-0.69205391802989402</v>
      </c>
      <c r="AA401" s="18">
        <v>-0.72888405989048899</v>
      </c>
      <c r="AB401" s="18">
        <v>-0.13410016182277601</v>
      </c>
      <c r="AC401" s="18">
        <v>2.3911575723021901E-3</v>
      </c>
      <c r="AD401" s="18">
        <v>0.367745459733891</v>
      </c>
      <c r="AE401" s="21">
        <v>-0.94901873918324997</v>
      </c>
      <c r="AF401" s="3">
        <v>1.8594999999999999</v>
      </c>
      <c r="AG401" s="3">
        <v>0.15740599999999999</v>
      </c>
      <c r="AH401" s="3">
        <v>2.8132299999999999</v>
      </c>
      <c r="AI401" s="3">
        <v>29.318200000000001</v>
      </c>
      <c r="AJ401" s="3">
        <v>0.268901</v>
      </c>
      <c r="AK401" s="3">
        <v>0.68841300000000005</v>
      </c>
      <c r="AL401" s="3">
        <v>0</v>
      </c>
      <c r="AM401" s="3">
        <v>0</v>
      </c>
      <c r="AN401" s="3">
        <v>-0.518702</v>
      </c>
      <c r="AO401" s="3">
        <v>27.582599999999999</v>
      </c>
      <c r="AP401" s="3">
        <v>0.225076</v>
      </c>
      <c r="AQ401" s="3">
        <v>0.70116000000000001</v>
      </c>
      <c r="AR401" s="3">
        <v>0</v>
      </c>
      <c r="AS401" s="3">
        <v>0</v>
      </c>
      <c r="AT401" s="3">
        <v>-0.56503099999999995</v>
      </c>
      <c r="AU401" s="3">
        <v>0.74380199999999996</v>
      </c>
      <c r="AV401" s="3">
        <v>9.1923900000000003E-2</v>
      </c>
      <c r="AW401" s="3">
        <v>2.5221100000000001</v>
      </c>
      <c r="AX401" s="3">
        <v>0</v>
      </c>
      <c r="AY401" s="3">
        <v>0</v>
      </c>
      <c r="AZ401" s="21">
        <v>-0.63454200000000005</v>
      </c>
      <c r="BA401" s="3">
        <v>38.753</v>
      </c>
      <c r="BB401" s="3">
        <v>2</v>
      </c>
    </row>
    <row r="402" spans="1:54" s="3" customFormat="1" ht="47.25" customHeight="1" x14ac:dyDescent="0.25">
      <c r="A402" s="2">
        <v>400</v>
      </c>
      <c r="B402" s="3">
        <v>10</v>
      </c>
      <c r="C402" s="2">
        <v>1</v>
      </c>
      <c r="D402" s="9">
        <v>86</v>
      </c>
      <c r="E402" s="3" t="s">
        <v>53</v>
      </c>
      <c r="F402" s="3">
        <f>IF(E413="Happy", 1,2)</f>
        <v>1</v>
      </c>
      <c r="G402" s="11"/>
      <c r="H402" s="3" t="s">
        <v>84</v>
      </c>
      <c r="I402" s="3">
        <f t="shared" si="51"/>
        <v>3</v>
      </c>
      <c r="J402" s="3" t="s">
        <v>87</v>
      </c>
      <c r="K402" s="3">
        <v>3</v>
      </c>
      <c r="L402" s="6" t="s">
        <v>158</v>
      </c>
      <c r="M402" s="3">
        <v>-23</v>
      </c>
      <c r="N402" s="3">
        <f t="shared" si="52"/>
        <v>-0.23</v>
      </c>
      <c r="O402" s="3">
        <v>2</v>
      </c>
      <c r="P402" s="3">
        <v>0.02</v>
      </c>
      <c r="Q402" s="17">
        <v>0.41249999999999998</v>
      </c>
      <c r="R402" s="21">
        <v>0.34030895548778201</v>
      </c>
      <c r="S402" s="3">
        <v>6</v>
      </c>
      <c r="T402" s="3">
        <v>203.27</v>
      </c>
      <c r="U402" s="3">
        <v>226.16</v>
      </c>
      <c r="V402" s="26">
        <v>-1.1691695695665101</v>
      </c>
      <c r="W402" s="18">
        <v>1.3073123635794299</v>
      </c>
      <c r="X402" s="18">
        <v>-1.0288662835803</v>
      </c>
      <c r="Y402" s="18">
        <v>-0.43175427755134499</v>
      </c>
      <c r="Z402" s="18">
        <v>-1.4825436110158201</v>
      </c>
      <c r="AA402" s="18">
        <v>-0.98024765370120803</v>
      </c>
      <c r="AB402" s="18">
        <v>2.4304692062188998E-3</v>
      </c>
      <c r="AC402" s="18">
        <v>-0.73243343933953098</v>
      </c>
      <c r="AD402" s="18">
        <v>-0.87000971313187703</v>
      </c>
      <c r="AE402" s="21">
        <v>2.1098377920340101</v>
      </c>
      <c r="AF402" s="3">
        <v>0.36713299999999999</v>
      </c>
      <c r="AG402" s="3">
        <v>0.49846000000000001</v>
      </c>
      <c r="AH402" s="3">
        <v>4.5040800000000001</v>
      </c>
      <c r="AI402" s="3">
        <v>56.695799999999998</v>
      </c>
      <c r="AJ402" s="3">
        <v>0.30606899999999998</v>
      </c>
      <c r="AK402" s="3">
        <v>1.3397600000000001</v>
      </c>
      <c r="AL402" s="3">
        <v>0</v>
      </c>
      <c r="AM402" s="3">
        <v>0</v>
      </c>
      <c r="AN402" s="3">
        <v>-0.518702</v>
      </c>
      <c r="AO402" s="3">
        <v>19.720300000000002</v>
      </c>
      <c r="AP402" s="3">
        <v>3.54562E-2</v>
      </c>
      <c r="AQ402" s="3">
        <v>4.4318299999999998E-2</v>
      </c>
      <c r="AR402" s="3">
        <v>0</v>
      </c>
      <c r="AS402" s="3">
        <v>0</v>
      </c>
      <c r="AT402" s="3">
        <v>-0.56503099999999995</v>
      </c>
      <c r="AU402" s="3">
        <v>0</v>
      </c>
      <c r="AV402" s="3">
        <v>0.112472</v>
      </c>
      <c r="AW402" s="3">
        <v>0.58497900000000003</v>
      </c>
      <c r="AX402" s="3">
        <v>0</v>
      </c>
      <c r="AY402" s="3">
        <v>0</v>
      </c>
      <c r="AZ402" s="21">
        <v>-0.63454200000000005</v>
      </c>
      <c r="BA402" s="3">
        <v>22.893999999999998</v>
      </c>
      <c r="BB402" s="3">
        <v>3</v>
      </c>
    </row>
    <row r="403" spans="1:54" s="3" customFormat="1" ht="173.25" customHeight="1" x14ac:dyDescent="0.25">
      <c r="A403" s="2">
        <v>401</v>
      </c>
      <c r="B403" s="3">
        <v>10</v>
      </c>
      <c r="C403" s="2">
        <v>1</v>
      </c>
      <c r="D403" s="9">
        <v>86</v>
      </c>
      <c r="E403" s="3" t="s">
        <v>53</v>
      </c>
      <c r="F403" s="3">
        <f t="shared" ref="F403:F410" si="54">IF(E413="Happy", 1,2)</f>
        <v>1</v>
      </c>
      <c r="G403" s="11"/>
      <c r="H403" s="3" t="s">
        <v>84</v>
      </c>
      <c r="I403" s="3">
        <f t="shared" si="51"/>
        <v>3</v>
      </c>
      <c r="J403" s="3" t="s">
        <v>88</v>
      </c>
      <c r="K403" s="3">
        <v>4</v>
      </c>
      <c r="L403" s="6" t="s">
        <v>184</v>
      </c>
      <c r="M403" s="3">
        <v>-23</v>
      </c>
      <c r="N403" s="3">
        <f t="shared" si="52"/>
        <v>-0.23</v>
      </c>
      <c r="O403" s="3">
        <v>2</v>
      </c>
      <c r="P403" s="3">
        <v>0.02</v>
      </c>
      <c r="Q403" s="17">
        <v>5.3185185185185183E-2</v>
      </c>
      <c r="R403" s="21">
        <v>0.34557013103202833</v>
      </c>
      <c r="S403" s="3">
        <v>7</v>
      </c>
      <c r="T403" s="3">
        <v>226.16</v>
      </c>
      <c r="U403" s="3">
        <v>304.99</v>
      </c>
      <c r="V403" s="26">
        <v>-0.141620107042669</v>
      </c>
      <c r="W403" s="18">
        <v>-0.99554857951246301</v>
      </c>
      <c r="X403" s="18">
        <v>-0.108891256102968</v>
      </c>
      <c r="Y403" s="18">
        <v>0.21436188854024901</v>
      </c>
      <c r="Z403" s="18">
        <v>-1.34335561822354</v>
      </c>
      <c r="AA403" s="18">
        <v>-1.1060356905025099</v>
      </c>
      <c r="AB403" s="18">
        <v>0.27245460223721601</v>
      </c>
      <c r="AC403" s="18">
        <v>0.121104210799137</v>
      </c>
      <c r="AD403" s="18">
        <v>4.9995012450428901E-2</v>
      </c>
      <c r="AE403" s="21">
        <v>-0.54028402556503297</v>
      </c>
      <c r="AF403" s="3">
        <v>2.13198</v>
      </c>
      <c r="AG403" s="3">
        <v>8.2923800000000006E-2</v>
      </c>
      <c r="AH403" s="3">
        <v>2.6196799999999998</v>
      </c>
      <c r="AI403" s="3">
        <v>49.3401</v>
      </c>
      <c r="AJ403" s="3">
        <v>0.47669800000000001</v>
      </c>
      <c r="AK403" s="3">
        <v>1.0147699999999999</v>
      </c>
      <c r="AL403" s="3">
        <v>0</v>
      </c>
      <c r="AM403" s="3">
        <v>0</v>
      </c>
      <c r="AN403" s="3">
        <v>-0.518702</v>
      </c>
      <c r="AO403" s="3">
        <v>17.604099999999999</v>
      </c>
      <c r="AP403" s="3">
        <v>0.20083599999999999</v>
      </c>
      <c r="AQ403" s="3">
        <v>0.90826700000000005</v>
      </c>
      <c r="AR403" s="3">
        <v>0</v>
      </c>
      <c r="AS403" s="3">
        <v>5.6082E-2</v>
      </c>
      <c r="AT403" s="3">
        <v>-0.43387100000000001</v>
      </c>
      <c r="AU403" s="3">
        <v>1.62944</v>
      </c>
      <c r="AV403" s="3">
        <v>0.12635199999999999</v>
      </c>
      <c r="AW403" s="3">
        <v>2.45553</v>
      </c>
      <c r="AX403" s="3">
        <v>0.38071100000000002</v>
      </c>
      <c r="AY403" s="3">
        <v>0.27153699999999997</v>
      </c>
      <c r="AZ403" s="21">
        <v>6.2393200000000002</v>
      </c>
      <c r="BA403" s="3">
        <v>78.831999999999994</v>
      </c>
      <c r="BB403" s="3">
        <v>4</v>
      </c>
    </row>
    <row r="404" spans="1:54" s="3" customFormat="1" ht="78.75" customHeight="1" x14ac:dyDescent="0.25">
      <c r="A404" s="2">
        <v>402</v>
      </c>
      <c r="B404" s="3">
        <v>10</v>
      </c>
      <c r="C404" s="2">
        <v>1</v>
      </c>
      <c r="D404" s="9">
        <v>86</v>
      </c>
      <c r="E404" s="3" t="s">
        <v>53</v>
      </c>
      <c r="F404" s="3">
        <f t="shared" si="54"/>
        <v>1</v>
      </c>
      <c r="G404" s="11"/>
      <c r="H404" s="3" t="s">
        <v>84</v>
      </c>
      <c r="I404" s="3">
        <f t="shared" si="51"/>
        <v>3</v>
      </c>
      <c r="J404" s="3" t="s">
        <v>89</v>
      </c>
      <c r="K404" s="3">
        <v>5</v>
      </c>
      <c r="L404" s="6" t="s">
        <v>165</v>
      </c>
      <c r="M404" s="3">
        <v>-23</v>
      </c>
      <c r="N404" s="3">
        <f t="shared" si="52"/>
        <v>-0.23</v>
      </c>
      <c r="O404" s="3">
        <v>2</v>
      </c>
      <c r="P404" s="3">
        <v>0.02</v>
      </c>
      <c r="Q404" s="17">
        <v>-0.24374999999999999</v>
      </c>
      <c r="R404" s="21">
        <v>0.36492416041849418</v>
      </c>
      <c r="S404" s="3">
        <v>8</v>
      </c>
      <c r="T404" s="3">
        <v>304.99</v>
      </c>
      <c r="U404" s="3">
        <v>335.77</v>
      </c>
      <c r="V404" s="26">
        <v>1.09941019877698</v>
      </c>
      <c r="W404" s="18">
        <v>0.157276218247624</v>
      </c>
      <c r="X404" s="18">
        <v>2.62041509126853</v>
      </c>
      <c r="Y404" s="18">
        <v>0.471008247724861</v>
      </c>
      <c r="Z404" s="18">
        <v>0.449042357681255</v>
      </c>
      <c r="AA404" s="18">
        <v>7.3510460898924004E-2</v>
      </c>
      <c r="AB404" s="18">
        <v>1.0783684708163099</v>
      </c>
      <c r="AC404" s="18">
        <v>1.73293299162703</v>
      </c>
      <c r="AD404" s="18">
        <v>-0.17646349671986</v>
      </c>
      <c r="AE404" s="21">
        <v>0.81329325860320201</v>
      </c>
      <c r="AF404" s="3">
        <v>2.3407</v>
      </c>
      <c r="AG404" s="3">
        <v>0.114372</v>
      </c>
      <c r="AH404" s="3">
        <v>2.9437000000000002</v>
      </c>
      <c r="AI404" s="3">
        <v>27.4252</v>
      </c>
      <c r="AJ404" s="3">
        <v>5.0099900000000003E-2</v>
      </c>
      <c r="AK404" s="3">
        <v>0.15547800000000001</v>
      </c>
      <c r="AL404" s="3">
        <v>0</v>
      </c>
      <c r="AM404" s="3">
        <v>0</v>
      </c>
      <c r="AN404" s="3">
        <v>-0.518702</v>
      </c>
      <c r="AO404" s="3">
        <v>27.152100000000001</v>
      </c>
      <c r="AP404" s="3">
        <v>0.13692099999999999</v>
      </c>
      <c r="AQ404" s="3">
        <v>1.0826499999999999</v>
      </c>
      <c r="AR404" s="3">
        <v>0</v>
      </c>
      <c r="AS404" s="3">
        <v>6.1913900000000001E-2</v>
      </c>
      <c r="AT404" s="3">
        <v>5.1307099999999997</v>
      </c>
      <c r="AU404" s="3">
        <v>3.51105</v>
      </c>
      <c r="AV404" s="3">
        <v>6.7354800000000006E-2</v>
      </c>
      <c r="AW404" s="3">
        <v>2.3345899999999999</v>
      </c>
      <c r="AX404" s="3">
        <v>0</v>
      </c>
      <c r="AY404" s="3">
        <v>5.1639800000000003E-3</v>
      </c>
      <c r="AZ404" s="21">
        <v>-0.62481799999999998</v>
      </c>
      <c r="BA404" s="3">
        <v>30.777000000000001</v>
      </c>
      <c r="BB404" s="3">
        <v>5</v>
      </c>
    </row>
    <row r="405" spans="1:54" s="3" customFormat="1" ht="47.25" customHeight="1" x14ac:dyDescent="0.25">
      <c r="A405" s="2">
        <v>403</v>
      </c>
      <c r="B405" s="3">
        <v>10</v>
      </c>
      <c r="C405" s="2">
        <v>1</v>
      </c>
      <c r="D405" s="9">
        <v>86</v>
      </c>
      <c r="E405" s="3" t="s">
        <v>53</v>
      </c>
      <c r="F405" s="3">
        <f t="shared" si="54"/>
        <v>1</v>
      </c>
      <c r="G405" s="11"/>
      <c r="H405" s="3" t="s">
        <v>84</v>
      </c>
      <c r="I405" s="3">
        <f t="shared" si="51"/>
        <v>3</v>
      </c>
      <c r="J405" s="3" t="s">
        <v>90</v>
      </c>
      <c r="K405" s="3">
        <v>6</v>
      </c>
      <c r="L405" s="6" t="s">
        <v>262</v>
      </c>
      <c r="M405" s="3">
        <v>-23</v>
      </c>
      <c r="N405" s="3">
        <f t="shared" si="52"/>
        <v>-0.23</v>
      </c>
      <c r="O405" s="3">
        <v>2</v>
      </c>
      <c r="P405" s="3">
        <v>0.02</v>
      </c>
      <c r="Q405" s="17">
        <v>-9.7291666666666651E-2</v>
      </c>
      <c r="R405" s="21">
        <v>0.65033943238497749</v>
      </c>
      <c r="S405" s="3">
        <v>9</v>
      </c>
      <c r="T405" s="3">
        <v>335.77</v>
      </c>
      <c r="U405" s="3">
        <v>351.24</v>
      </c>
      <c r="V405" s="26">
        <v>0.37379135844556399</v>
      </c>
      <c r="W405" s="18">
        <v>-1.1346004624032</v>
      </c>
      <c r="X405" s="18">
        <v>-0.29771211693851601</v>
      </c>
      <c r="Y405" s="18">
        <v>0.892154699236687</v>
      </c>
      <c r="Z405" s="18">
        <v>-1.1007883497274</v>
      </c>
      <c r="AA405" s="18">
        <v>-0.64509619528691697</v>
      </c>
      <c r="AB405" s="18">
        <v>0.17250969471804201</v>
      </c>
      <c r="AC405" s="18">
        <v>-2.31573427714393</v>
      </c>
      <c r="AD405" s="18">
        <v>-0.75064891046450399</v>
      </c>
      <c r="AE405" s="21">
        <v>2.0090799323978898</v>
      </c>
      <c r="AF405" s="3">
        <v>1.3195300000000001</v>
      </c>
      <c r="AG405" s="3">
        <v>0.175704</v>
      </c>
      <c r="AH405" s="3">
        <v>2.6472799999999999</v>
      </c>
      <c r="AI405" s="3">
        <v>13.661099999999999</v>
      </c>
      <c r="AJ405" s="3">
        <v>0.110143</v>
      </c>
      <c r="AK405" s="3">
        <v>0.16547700000000001</v>
      </c>
      <c r="AL405" s="3">
        <v>0</v>
      </c>
      <c r="AM405" s="3">
        <v>0</v>
      </c>
      <c r="AN405" s="3">
        <v>-0.518702</v>
      </c>
      <c r="AO405" s="3">
        <v>33.919800000000002</v>
      </c>
      <c r="AP405" s="3">
        <v>0.11455700000000001</v>
      </c>
      <c r="AQ405" s="3">
        <v>0.45761800000000002</v>
      </c>
      <c r="AR405" s="3">
        <v>0</v>
      </c>
      <c r="AS405" s="3">
        <v>7.9926399999999995E-2</v>
      </c>
      <c r="AT405" s="3">
        <v>-0.23522199999999999</v>
      </c>
      <c r="AU405" s="3">
        <v>4.7347999999999999</v>
      </c>
      <c r="AV405" s="3">
        <v>0.12121999999999999</v>
      </c>
      <c r="AW405" s="3">
        <v>2.55199</v>
      </c>
      <c r="AX405" s="3">
        <v>0</v>
      </c>
      <c r="AY405" s="3">
        <v>3.3491100000000003E-2</v>
      </c>
      <c r="AZ405" s="21">
        <v>-0.56755699999999998</v>
      </c>
      <c r="BA405" s="3">
        <v>15.472</v>
      </c>
      <c r="BB405" s="3">
        <v>6</v>
      </c>
    </row>
    <row r="406" spans="1:54" s="3" customFormat="1" ht="141.75" customHeight="1" x14ac:dyDescent="0.25">
      <c r="A406" s="2">
        <v>404</v>
      </c>
      <c r="B406" s="3">
        <v>10</v>
      </c>
      <c r="C406" s="2">
        <v>1</v>
      </c>
      <c r="D406" s="9">
        <v>86</v>
      </c>
      <c r="E406" s="3" t="s">
        <v>53</v>
      </c>
      <c r="F406" s="3">
        <f t="shared" si="54"/>
        <v>1</v>
      </c>
      <c r="G406" s="11"/>
      <c r="H406" s="3" t="s">
        <v>84</v>
      </c>
      <c r="I406" s="3">
        <f t="shared" si="51"/>
        <v>3</v>
      </c>
      <c r="J406" s="3" t="s">
        <v>91</v>
      </c>
      <c r="K406" s="3">
        <v>7</v>
      </c>
      <c r="L406" s="6" t="s">
        <v>196</v>
      </c>
      <c r="M406" s="3">
        <v>-23</v>
      </c>
      <c r="N406" s="3">
        <f t="shared" si="52"/>
        <v>-0.23</v>
      </c>
      <c r="O406" s="3">
        <v>2</v>
      </c>
      <c r="P406" s="3">
        <v>0.02</v>
      </c>
      <c r="Q406" s="17">
        <v>0.1692091836734694</v>
      </c>
      <c r="R406" s="21">
        <v>0.3130224487010001</v>
      </c>
      <c r="S406" s="3">
        <v>11</v>
      </c>
      <c r="T406" s="3">
        <v>364.5</v>
      </c>
      <c r="U406" s="3">
        <v>429.35</v>
      </c>
      <c r="V406" s="26">
        <v>-0.37503934909535502</v>
      </c>
      <c r="W406" s="18">
        <v>-1.0186089857552001</v>
      </c>
      <c r="X406" s="18">
        <v>0.120029981909318</v>
      </c>
      <c r="Y406" s="18">
        <v>5.26580793229788E-2</v>
      </c>
      <c r="Z406" s="18">
        <v>-8.3796257897997203E-2</v>
      </c>
      <c r="AA406" s="18">
        <v>-0.33494652571883199</v>
      </c>
      <c r="AB406" s="18">
        <v>-8.7515275054840802E-2</v>
      </c>
      <c r="AC406" s="18">
        <v>0.332303014795713</v>
      </c>
      <c r="AD406" s="18">
        <v>0.53370602782619803</v>
      </c>
      <c r="AE406" s="21">
        <v>0.206845009095243</v>
      </c>
      <c r="AF406" s="3">
        <v>6.0536899999999996</v>
      </c>
      <c r="AG406" s="3">
        <v>0.13878599999999999</v>
      </c>
      <c r="AH406" s="3">
        <v>2.6043799999999999</v>
      </c>
      <c r="AI406" s="3">
        <v>21.993200000000002</v>
      </c>
      <c r="AJ406" s="3">
        <v>0.19136600000000001</v>
      </c>
      <c r="AK406" s="3">
        <v>0.62386900000000001</v>
      </c>
      <c r="AL406" s="3">
        <v>0</v>
      </c>
      <c r="AM406" s="3">
        <v>4.21565E-2</v>
      </c>
      <c r="AN406" s="3">
        <v>-0.38820700000000002</v>
      </c>
      <c r="AO406" s="3">
        <v>20.438099999999999</v>
      </c>
      <c r="AP406" s="3">
        <v>0.1772</v>
      </c>
      <c r="AQ406" s="3">
        <v>0.77346300000000001</v>
      </c>
      <c r="AR406" s="3">
        <v>0</v>
      </c>
      <c r="AS406" s="3">
        <v>0.152336</v>
      </c>
      <c r="AT406" s="3">
        <v>1.8408100000000001</v>
      </c>
      <c r="AU406" s="3">
        <v>3.9247100000000001</v>
      </c>
      <c r="AV406" s="3">
        <v>0.39853899999999998</v>
      </c>
      <c r="AW406" s="3">
        <v>3.2403599999999999</v>
      </c>
      <c r="AX406" s="3">
        <v>0.111077</v>
      </c>
      <c r="AY406" s="3">
        <v>0.121271</v>
      </c>
      <c r="AZ406" s="21">
        <v>4.8010000000000002</v>
      </c>
      <c r="BA406" s="3">
        <v>64.843000000000004</v>
      </c>
      <c r="BB406" s="3">
        <v>7</v>
      </c>
    </row>
    <row r="407" spans="1:54" s="3" customFormat="1" ht="31.5" customHeight="1" x14ac:dyDescent="0.25">
      <c r="A407" s="2">
        <v>405</v>
      </c>
      <c r="B407" s="3">
        <v>10</v>
      </c>
      <c r="C407" s="2">
        <v>1</v>
      </c>
      <c r="D407" s="9">
        <v>86</v>
      </c>
      <c r="E407" s="3" t="s">
        <v>53</v>
      </c>
      <c r="F407" s="3">
        <f t="shared" si="54"/>
        <v>1</v>
      </c>
      <c r="G407" s="11"/>
      <c r="H407" s="3" t="s">
        <v>84</v>
      </c>
      <c r="I407" s="3">
        <f t="shared" si="51"/>
        <v>3</v>
      </c>
      <c r="J407" s="3" t="s">
        <v>92</v>
      </c>
      <c r="K407" s="3">
        <v>8</v>
      </c>
      <c r="L407" s="6" t="s">
        <v>263</v>
      </c>
      <c r="M407" s="3">
        <v>-23</v>
      </c>
      <c r="N407" s="3">
        <f t="shared" si="52"/>
        <v>-0.23</v>
      </c>
      <c r="O407" s="3">
        <v>2</v>
      </c>
      <c r="P407" s="3">
        <v>0.02</v>
      </c>
      <c r="Q407" s="17">
        <v>0.206875</v>
      </c>
      <c r="R407" s="21">
        <v>8.0433396359969808E-2</v>
      </c>
      <c r="S407" s="3">
        <v>13</v>
      </c>
      <c r="T407" s="3">
        <v>440.99</v>
      </c>
      <c r="U407" s="3">
        <v>448.65</v>
      </c>
      <c r="V407" s="26">
        <v>-1.3577632351989399</v>
      </c>
      <c r="W407" s="18">
        <v>0.677776650452109</v>
      </c>
      <c r="X407" s="18">
        <v>-1.0008049705336299</v>
      </c>
      <c r="Y407" s="18">
        <v>-0.80610667889518905</v>
      </c>
      <c r="Z407" s="18">
        <v>-0.75619076404783303</v>
      </c>
      <c r="AA407" s="18">
        <v>0.14692222899833501</v>
      </c>
      <c r="AB407" s="18">
        <v>1.3967997680314399</v>
      </c>
      <c r="AC407" s="18">
        <v>-0.11632189565453099</v>
      </c>
      <c r="AD407" s="18">
        <v>-1.6548478676570699</v>
      </c>
      <c r="AE407" s="21">
        <v>2.0794203249740502</v>
      </c>
      <c r="AF407" s="3">
        <v>3.7696299999999998</v>
      </c>
      <c r="AG407" s="3">
        <v>0.428174</v>
      </c>
      <c r="AH407" s="3">
        <v>3.34782</v>
      </c>
      <c r="AI407" s="3">
        <v>28.743500000000001</v>
      </c>
      <c r="AJ407" s="3">
        <v>0.121796</v>
      </c>
      <c r="AK407" s="3">
        <v>0.214027</v>
      </c>
      <c r="AL407" s="3">
        <v>0</v>
      </c>
      <c r="AM407" s="3">
        <v>0</v>
      </c>
      <c r="AN407" s="3">
        <v>-0.518702</v>
      </c>
      <c r="AO407" s="3">
        <v>22.931899999999999</v>
      </c>
      <c r="AP407" s="3">
        <v>0.102913</v>
      </c>
      <c r="AQ407" s="3">
        <v>0.36133799999999999</v>
      </c>
      <c r="AR407" s="3">
        <v>0</v>
      </c>
      <c r="AS407" s="3">
        <v>0</v>
      </c>
      <c r="AT407" s="3">
        <v>-0.56503099999999995</v>
      </c>
      <c r="AU407" s="3">
        <v>1.5706800000000001</v>
      </c>
      <c r="AV407" s="3">
        <v>8.2063700000000003E-2</v>
      </c>
      <c r="AW407" s="3">
        <v>2.3374199999999998</v>
      </c>
      <c r="AX407" s="3">
        <v>0</v>
      </c>
      <c r="AY407" s="3">
        <v>3.4399600000000002E-2</v>
      </c>
      <c r="AZ407" s="21">
        <v>-0.532443</v>
      </c>
      <c r="BA407" s="3">
        <v>7.6619999999999999</v>
      </c>
      <c r="BB407" s="3">
        <v>8</v>
      </c>
    </row>
    <row r="408" spans="1:54" s="3" customFormat="1" ht="110.25" customHeight="1" x14ac:dyDescent="0.25">
      <c r="A408" s="2">
        <v>406</v>
      </c>
      <c r="B408" s="3">
        <v>10</v>
      </c>
      <c r="C408" s="2">
        <v>1</v>
      </c>
      <c r="D408" s="9">
        <v>86</v>
      </c>
      <c r="E408" s="3" t="s">
        <v>53</v>
      </c>
      <c r="F408" s="3">
        <f t="shared" si="54"/>
        <v>1</v>
      </c>
      <c r="G408" s="11"/>
      <c r="H408" s="3" t="s">
        <v>84</v>
      </c>
      <c r="I408" s="3">
        <f t="shared" si="51"/>
        <v>3</v>
      </c>
      <c r="J408" s="3" t="s">
        <v>93</v>
      </c>
      <c r="K408" s="3">
        <v>9</v>
      </c>
      <c r="L408" s="6" t="s">
        <v>205</v>
      </c>
      <c r="M408" s="3">
        <v>-23</v>
      </c>
      <c r="N408" s="3">
        <f t="shared" si="52"/>
        <v>-0.23</v>
      </c>
      <c r="O408" s="3">
        <v>2</v>
      </c>
      <c r="P408" s="3">
        <v>0.02</v>
      </c>
      <c r="Q408" s="17">
        <v>0.34062500000000001</v>
      </c>
      <c r="R408" s="21">
        <v>0.20747143138579299</v>
      </c>
      <c r="S408" s="3">
        <v>15</v>
      </c>
      <c r="T408" s="3">
        <v>538.52</v>
      </c>
      <c r="U408" s="3">
        <v>583.46</v>
      </c>
      <c r="V408" s="26">
        <v>-0.37553532916393501</v>
      </c>
      <c r="W408" s="18">
        <v>-8.5912795913315299E-2</v>
      </c>
      <c r="X408" s="18">
        <v>-0.45499996434363399</v>
      </c>
      <c r="Y408" s="18">
        <v>-0.36678438716872103</v>
      </c>
      <c r="Z408" s="18">
        <v>-0.72859843067491503</v>
      </c>
      <c r="AA408" s="18">
        <v>-0.79262799745871804</v>
      </c>
      <c r="AB408" s="18">
        <v>-0.987580143470842</v>
      </c>
      <c r="AC408" s="18">
        <v>0.51313336331565695</v>
      </c>
      <c r="AD408" s="18">
        <v>0.53534110731479201</v>
      </c>
      <c r="AE408" s="21">
        <v>-2.4014527912963599</v>
      </c>
      <c r="AF408" s="3">
        <v>0.64114000000000004</v>
      </c>
      <c r="AG408" s="3">
        <v>3.3111399999999999E-2</v>
      </c>
      <c r="AH408" s="3">
        <v>2.28302</v>
      </c>
      <c r="AI408" s="3">
        <v>22.386500000000002</v>
      </c>
      <c r="AJ408" s="3">
        <v>8.1629400000000005E-2</v>
      </c>
      <c r="AK408" s="3">
        <v>0.14701600000000001</v>
      </c>
      <c r="AL408" s="3">
        <v>0</v>
      </c>
      <c r="AM408" s="3">
        <v>2.8402900000000001E-3</v>
      </c>
      <c r="AN408" s="3">
        <v>-0.514459</v>
      </c>
      <c r="AO408" s="3">
        <v>40.3384</v>
      </c>
      <c r="AP408" s="3">
        <v>0.121959</v>
      </c>
      <c r="AQ408" s="3">
        <v>0.60490100000000002</v>
      </c>
      <c r="AR408" s="3">
        <v>0</v>
      </c>
      <c r="AS408" s="3">
        <v>0.38150400000000001</v>
      </c>
      <c r="AT408" s="3">
        <v>1.8476300000000001</v>
      </c>
      <c r="AU408" s="3">
        <v>1.22885</v>
      </c>
      <c r="AV408" s="3">
        <v>0.117045</v>
      </c>
      <c r="AW408" s="3">
        <v>2.4995599999999998</v>
      </c>
      <c r="AX408" s="3">
        <v>0</v>
      </c>
      <c r="AY408" s="3">
        <v>8.5007399999999997E-2</v>
      </c>
      <c r="AZ408" s="21">
        <v>-0.50509599999999999</v>
      </c>
      <c r="BA408" s="3">
        <v>44.942</v>
      </c>
      <c r="BB408" s="3">
        <v>9</v>
      </c>
    </row>
    <row r="409" spans="1:54" s="3" customFormat="1" ht="47.25" customHeight="1" x14ac:dyDescent="0.25">
      <c r="A409" s="2">
        <v>407</v>
      </c>
      <c r="B409" s="3">
        <v>11</v>
      </c>
      <c r="C409" s="2">
        <v>2</v>
      </c>
      <c r="D409" s="9">
        <v>66</v>
      </c>
      <c r="E409" s="3" t="s">
        <v>16</v>
      </c>
      <c r="F409" s="3">
        <f t="shared" si="54"/>
        <v>1</v>
      </c>
      <c r="G409" s="11" t="s">
        <v>17</v>
      </c>
      <c r="H409" s="3" t="s">
        <v>17</v>
      </c>
      <c r="I409" s="3">
        <f t="shared" si="51"/>
        <v>1</v>
      </c>
      <c r="J409" s="3" t="s">
        <v>18</v>
      </c>
      <c r="K409" s="3">
        <v>1</v>
      </c>
      <c r="L409" s="6" t="s">
        <v>148</v>
      </c>
      <c r="M409" s="3">
        <v>69</v>
      </c>
      <c r="N409" s="3">
        <f t="shared" si="52"/>
        <v>0.69</v>
      </c>
      <c r="O409" s="3">
        <v>79</v>
      </c>
      <c r="P409" s="3">
        <v>0.79</v>
      </c>
      <c r="Q409" s="17">
        <v>0.37619047619047619</v>
      </c>
      <c r="R409" s="21">
        <v>0.39061408714915169</v>
      </c>
      <c r="S409" s="3">
        <v>2</v>
      </c>
      <c r="T409" s="3">
        <v>29.75</v>
      </c>
      <c r="U409" s="3">
        <v>54.4</v>
      </c>
      <c r="V409" s="26">
        <v>0.21807626500247701</v>
      </c>
      <c r="W409" s="18">
        <v>1.3548418682529499</v>
      </c>
      <c r="X409" s="18">
        <v>1.1574392975608001</v>
      </c>
      <c r="Y409" s="18">
        <v>0.35913051658541001</v>
      </c>
      <c r="Z409" s="18">
        <v>0.53189341648092903</v>
      </c>
      <c r="AA409" s="18">
        <v>0.80491427992339304</v>
      </c>
      <c r="AB409" s="18">
        <v>-0.45316096388997401</v>
      </c>
      <c r="AC409" s="18">
        <v>8.1442366754655299E-2</v>
      </c>
      <c r="AD409" s="18">
        <v>0.95181917673929495</v>
      </c>
      <c r="AE409" s="21">
        <v>0.156168530849052</v>
      </c>
      <c r="AF409" s="3">
        <v>17.532499999999999</v>
      </c>
      <c r="AG409" s="3">
        <v>7.7630599999999994E-2</v>
      </c>
      <c r="AH409" s="3">
        <v>1.53132</v>
      </c>
      <c r="AI409" s="3">
        <v>0</v>
      </c>
      <c r="AJ409" s="3">
        <v>0.16364200000000001</v>
      </c>
      <c r="AK409" s="3">
        <v>0.105793</v>
      </c>
      <c r="AL409" s="3">
        <v>0</v>
      </c>
      <c r="AM409" s="3">
        <v>0</v>
      </c>
      <c r="AN409" s="3">
        <v>-0.45005200000000001</v>
      </c>
      <c r="AO409" s="3">
        <v>29.318200000000001</v>
      </c>
      <c r="AP409" s="3">
        <v>4.4459699999999998E-2</v>
      </c>
      <c r="AQ409" s="3">
        <v>-5.0307600000000001E-2</v>
      </c>
      <c r="AR409" s="3">
        <v>37.987000000000002</v>
      </c>
      <c r="AS409" s="3">
        <v>0.40307799999999999</v>
      </c>
      <c r="AT409" s="3">
        <v>1.0535399999999999</v>
      </c>
      <c r="AU409" s="3">
        <v>24.204499999999999</v>
      </c>
      <c r="AV409" s="3">
        <v>0.25620500000000002</v>
      </c>
      <c r="AW409" s="3">
        <v>1.6175600000000001</v>
      </c>
      <c r="AX409" s="3">
        <v>2.2402600000000001</v>
      </c>
      <c r="AY409" s="3">
        <v>0.185806</v>
      </c>
      <c r="AZ409" s="21">
        <v>3.85406</v>
      </c>
      <c r="BA409" s="3">
        <v>24.657</v>
      </c>
      <c r="BB409" s="3">
        <v>1</v>
      </c>
    </row>
    <row r="410" spans="1:54" s="3" customFormat="1" ht="110.25" customHeight="1" x14ac:dyDescent="0.25">
      <c r="A410" s="2">
        <v>408</v>
      </c>
      <c r="B410" s="3">
        <v>11</v>
      </c>
      <c r="C410" s="2">
        <v>2</v>
      </c>
      <c r="D410" s="9">
        <v>66</v>
      </c>
      <c r="E410" s="3" t="s">
        <v>16</v>
      </c>
      <c r="F410" s="3">
        <f t="shared" si="54"/>
        <v>1</v>
      </c>
      <c r="G410" s="11"/>
      <c r="H410" s="3" t="s">
        <v>17</v>
      </c>
      <c r="I410" s="3">
        <f t="shared" si="51"/>
        <v>1</v>
      </c>
      <c r="J410" s="3" t="s">
        <v>19</v>
      </c>
      <c r="K410" s="3">
        <v>2</v>
      </c>
      <c r="L410" s="6" t="s">
        <v>208</v>
      </c>
      <c r="M410" s="3">
        <v>69</v>
      </c>
      <c r="N410" s="3">
        <f t="shared" si="52"/>
        <v>0.69</v>
      </c>
      <c r="O410" s="3">
        <v>79</v>
      </c>
      <c r="P410" s="3">
        <v>0.79</v>
      </c>
      <c r="Q410" s="17">
        <v>0.32550000000000001</v>
      </c>
      <c r="R410" s="21">
        <v>0.23443496557983781</v>
      </c>
      <c r="S410" s="3">
        <v>4</v>
      </c>
      <c r="T410" s="3">
        <v>63.64</v>
      </c>
      <c r="U410" s="3">
        <v>117.42</v>
      </c>
      <c r="V410" s="26">
        <v>0.68825430689343603</v>
      </c>
      <c r="W410" s="18">
        <v>1.15381227201628</v>
      </c>
      <c r="X410" s="18">
        <v>0.79391189208623403</v>
      </c>
      <c r="Y410" s="18">
        <v>0.65335995618662401</v>
      </c>
      <c r="Z410" s="18">
        <v>0.95420884939234696</v>
      </c>
      <c r="AA410" s="18">
        <v>0.642923350520056</v>
      </c>
      <c r="AB410" s="18">
        <v>4.2295628176384402E-2</v>
      </c>
      <c r="AC410" s="18">
        <v>-0.15785459612924899</v>
      </c>
      <c r="AD410" s="18">
        <v>-0.75503021822447702</v>
      </c>
      <c r="AE410" s="21">
        <v>-0.65967320284084296</v>
      </c>
      <c r="AF410" s="3">
        <v>5.3794599999999999</v>
      </c>
      <c r="AG410" s="3">
        <v>7.4342400000000003E-2</v>
      </c>
      <c r="AH410" s="3">
        <v>1.37104</v>
      </c>
      <c r="AI410" s="3">
        <v>2.6116100000000002</v>
      </c>
      <c r="AJ410" s="3">
        <v>0.19258900000000001</v>
      </c>
      <c r="AK410" s="3">
        <v>3.1480299999999999</v>
      </c>
      <c r="AL410" s="3">
        <v>3.3482099999999999</v>
      </c>
      <c r="AM410" s="3">
        <v>0.15740100000000001</v>
      </c>
      <c r="AN410" s="3">
        <v>4.2814899999999998</v>
      </c>
      <c r="AO410" s="3">
        <v>24.218800000000002</v>
      </c>
      <c r="AP410" s="3">
        <v>0.20225299999999999</v>
      </c>
      <c r="AQ410" s="3">
        <v>0.78781299999999999</v>
      </c>
      <c r="AR410" s="3">
        <v>17.700900000000001</v>
      </c>
      <c r="AS410" s="3">
        <v>0.321351</v>
      </c>
      <c r="AT410" s="3">
        <v>0.97504999999999997</v>
      </c>
      <c r="AU410" s="3">
        <v>4.6651800000000003</v>
      </c>
      <c r="AV410" s="3">
        <v>5.8902000000000003E-2</v>
      </c>
      <c r="AW410" s="3">
        <v>0.35666500000000001</v>
      </c>
      <c r="AX410" s="3">
        <v>3.59375</v>
      </c>
      <c r="AY410" s="3">
        <v>0.25233800000000001</v>
      </c>
      <c r="AZ410" s="21">
        <v>4.2660900000000002</v>
      </c>
      <c r="BA410" s="3">
        <v>53.783000000000001</v>
      </c>
      <c r="BB410" s="3">
        <v>2</v>
      </c>
    </row>
    <row r="411" spans="1:54" s="3" customFormat="1" ht="47.25" customHeight="1" x14ac:dyDescent="0.25">
      <c r="A411" s="2">
        <v>409</v>
      </c>
      <c r="B411" s="3">
        <v>11</v>
      </c>
      <c r="C411" s="2">
        <v>2</v>
      </c>
      <c r="D411" s="9">
        <v>66</v>
      </c>
      <c r="E411" s="3" t="s">
        <v>16</v>
      </c>
      <c r="F411" s="3">
        <f>IF(E422="Happy", 1,2)</f>
        <v>1</v>
      </c>
      <c r="G411" s="11"/>
      <c r="H411" s="3" t="s">
        <v>17</v>
      </c>
      <c r="I411" s="3">
        <f t="shared" si="51"/>
        <v>1</v>
      </c>
      <c r="J411" s="3" t="s">
        <v>20</v>
      </c>
      <c r="K411" s="3">
        <v>3</v>
      </c>
      <c r="L411" s="6" t="s">
        <v>153</v>
      </c>
      <c r="M411" s="3">
        <v>69</v>
      </c>
      <c r="N411" s="3">
        <f t="shared" si="52"/>
        <v>0.69</v>
      </c>
      <c r="O411" s="3">
        <v>79</v>
      </c>
      <c r="P411" s="3">
        <v>0.79</v>
      </c>
      <c r="Q411" s="17">
        <v>0.12638888888888891</v>
      </c>
      <c r="R411" s="21">
        <v>0.32914908532513099</v>
      </c>
      <c r="S411" s="3">
        <v>6</v>
      </c>
      <c r="T411" s="3">
        <v>126.89</v>
      </c>
      <c r="U411" s="3">
        <v>152.44</v>
      </c>
      <c r="V411" s="26">
        <v>1.50418132135906</v>
      </c>
      <c r="W411" s="18">
        <v>1.4859632369343301</v>
      </c>
      <c r="X411" s="18">
        <v>1.8199468391517299</v>
      </c>
      <c r="Y411" s="18">
        <v>-1.6565776865016799E-2</v>
      </c>
      <c r="Z411" s="18">
        <v>0.73968874891664205</v>
      </c>
      <c r="AA411" s="18">
        <v>0.35498270504569501</v>
      </c>
      <c r="AB411" s="18">
        <v>0.69172941106750996</v>
      </c>
      <c r="AC411" s="18">
        <v>0.59695262839436103</v>
      </c>
      <c r="AD411" s="18">
        <v>1.0891075600667</v>
      </c>
      <c r="AE411" s="21">
        <v>7.5258606846748094E-2</v>
      </c>
      <c r="AF411" s="3">
        <v>11.417400000000001</v>
      </c>
      <c r="AG411" s="3">
        <v>0.139708</v>
      </c>
      <c r="AH411" s="3">
        <v>1.60318</v>
      </c>
      <c r="AI411" s="3">
        <v>0</v>
      </c>
      <c r="AJ411" s="3">
        <v>1.5478499999999999E-2</v>
      </c>
      <c r="AK411" s="3">
        <v>-0.78969</v>
      </c>
      <c r="AL411" s="3">
        <v>7.9874700000000001</v>
      </c>
      <c r="AM411" s="3">
        <v>4.1726100000000002E-2</v>
      </c>
      <c r="AN411" s="3">
        <v>3.5602499999999999</v>
      </c>
      <c r="AO411" s="3">
        <v>26.123699999999999</v>
      </c>
      <c r="AP411" s="3">
        <v>0.23935400000000001</v>
      </c>
      <c r="AQ411" s="3">
        <v>0.33178000000000002</v>
      </c>
      <c r="AR411" s="3">
        <v>36.084600000000002</v>
      </c>
      <c r="AS411" s="3">
        <v>0.34449200000000002</v>
      </c>
      <c r="AT411" s="3">
        <v>1.31135</v>
      </c>
      <c r="AU411" s="3">
        <v>18.042300000000001</v>
      </c>
      <c r="AV411" s="3">
        <v>0.12518399999999999</v>
      </c>
      <c r="AW411" s="3">
        <v>0.41855399999999998</v>
      </c>
      <c r="AX411" s="3">
        <v>2.1613199999999999</v>
      </c>
      <c r="AY411" s="3">
        <v>0.18831300000000001</v>
      </c>
      <c r="AZ411" s="21">
        <v>4.1579899999999999</v>
      </c>
      <c r="BA411" s="3">
        <v>25.556999999999999</v>
      </c>
      <c r="BB411" s="3">
        <v>3</v>
      </c>
    </row>
    <row r="412" spans="1:54" s="3" customFormat="1" ht="63" customHeight="1" x14ac:dyDescent="0.25">
      <c r="A412" s="2">
        <v>410</v>
      </c>
      <c r="B412" s="3">
        <v>11</v>
      </c>
      <c r="C412" s="2">
        <v>2</v>
      </c>
      <c r="D412" s="9">
        <v>66</v>
      </c>
      <c r="E412" s="3" t="s">
        <v>16</v>
      </c>
      <c r="F412" s="3">
        <f>IF(E423="Happy", 1,2)</f>
        <v>1</v>
      </c>
      <c r="G412" s="11"/>
      <c r="H412" s="3" t="s">
        <v>17</v>
      </c>
      <c r="I412" s="3">
        <f t="shared" si="51"/>
        <v>1</v>
      </c>
      <c r="J412" s="3" t="s">
        <v>21</v>
      </c>
      <c r="K412" s="3">
        <v>4</v>
      </c>
      <c r="L412" s="6" t="s">
        <v>172</v>
      </c>
      <c r="M412" s="3">
        <v>69</v>
      </c>
      <c r="N412" s="3">
        <f t="shared" si="52"/>
        <v>0.69</v>
      </c>
      <c r="O412" s="3">
        <v>79</v>
      </c>
      <c r="P412" s="3">
        <v>0.79</v>
      </c>
      <c r="Q412" s="17">
        <v>0.44458333333333327</v>
      </c>
      <c r="R412" s="21">
        <v>0.4887494671778852</v>
      </c>
      <c r="S412" s="3">
        <v>7</v>
      </c>
      <c r="T412" s="3">
        <v>152.44</v>
      </c>
      <c r="U412" s="3">
        <v>181.77</v>
      </c>
      <c r="V412" s="26">
        <v>-0.278354522006035</v>
      </c>
      <c r="W412" s="18">
        <v>1.0948046485855301</v>
      </c>
      <c r="X412" s="18">
        <v>-0.332771348514183</v>
      </c>
      <c r="Y412" s="18">
        <v>-0.67861003070428605</v>
      </c>
      <c r="Z412" s="18">
        <v>0.56753468709287802</v>
      </c>
      <c r="AA412" s="18">
        <v>0.58704001679576001</v>
      </c>
      <c r="AB412" s="18">
        <v>1.3512426116137599</v>
      </c>
      <c r="AC412" s="18">
        <v>0.72681902422942701</v>
      </c>
      <c r="AD412" s="18">
        <v>0.25252254256224099</v>
      </c>
      <c r="AE412" s="21">
        <v>0.94166904303808296</v>
      </c>
      <c r="AF412" s="3">
        <v>4.8737199999999996</v>
      </c>
      <c r="AG412" s="3">
        <v>0.34216099999999999</v>
      </c>
      <c r="AH412" s="3">
        <v>2.2507799999999998</v>
      </c>
      <c r="AI412" s="3">
        <v>0.24573400000000001</v>
      </c>
      <c r="AJ412" s="3">
        <v>6.09098E-2</v>
      </c>
      <c r="AK412" s="3">
        <v>2.89446</v>
      </c>
      <c r="AL412" s="3">
        <v>1.5563100000000001</v>
      </c>
      <c r="AM412" s="3">
        <v>0.31672299999999998</v>
      </c>
      <c r="AN412" s="3">
        <v>5.4790400000000004</v>
      </c>
      <c r="AO412" s="3">
        <v>36.737200000000001</v>
      </c>
      <c r="AP412" s="3">
        <v>0.36243399999999998</v>
      </c>
      <c r="AQ412" s="3">
        <v>1.31331</v>
      </c>
      <c r="AR412" s="3">
        <v>37.5154</v>
      </c>
      <c r="AS412" s="3">
        <v>0.517119</v>
      </c>
      <c r="AT412" s="3">
        <v>1.8307899999999999</v>
      </c>
      <c r="AU412" s="3">
        <v>25.310600000000001</v>
      </c>
      <c r="AV412" s="3">
        <v>0.30012699999999998</v>
      </c>
      <c r="AW412" s="3">
        <v>0.95871200000000001</v>
      </c>
      <c r="AX412" s="3">
        <v>0.94198000000000004</v>
      </c>
      <c r="AY412" s="3">
        <v>0.15532199999999999</v>
      </c>
      <c r="AZ412" s="21">
        <v>3.5344799999999998</v>
      </c>
      <c r="BA412" s="3">
        <v>29.332000000000001</v>
      </c>
      <c r="BB412" s="3">
        <v>4</v>
      </c>
    </row>
    <row r="413" spans="1:54" s="3" customFormat="1" ht="47.25" customHeight="1" x14ac:dyDescent="0.25">
      <c r="A413" s="2">
        <v>411</v>
      </c>
      <c r="B413" s="3">
        <v>11</v>
      </c>
      <c r="C413" s="2">
        <v>2</v>
      </c>
      <c r="D413" s="9">
        <v>66</v>
      </c>
      <c r="E413" s="3" t="s">
        <v>16</v>
      </c>
      <c r="F413" s="3">
        <f t="shared" ref="F413:F420" si="55">IF(E423="Happy", 1,2)</f>
        <v>1</v>
      </c>
      <c r="G413" s="11"/>
      <c r="H413" s="3" t="s">
        <v>17</v>
      </c>
      <c r="I413" s="3">
        <f t="shared" si="51"/>
        <v>1</v>
      </c>
      <c r="J413" s="3" t="s">
        <v>22</v>
      </c>
      <c r="K413" s="3">
        <v>5</v>
      </c>
      <c r="L413" s="6" t="s">
        <v>172</v>
      </c>
      <c r="M413" s="3">
        <v>69</v>
      </c>
      <c r="N413" s="3">
        <f t="shared" si="52"/>
        <v>0.69</v>
      </c>
      <c r="O413" s="3">
        <v>79</v>
      </c>
      <c r="P413" s="3">
        <v>0.79</v>
      </c>
      <c r="Q413" s="17">
        <v>0.31780555555555562</v>
      </c>
      <c r="R413" s="21">
        <v>0.49331633322811203</v>
      </c>
      <c r="S413" s="3">
        <v>8</v>
      </c>
      <c r="T413" s="3">
        <v>181.77</v>
      </c>
      <c r="U413" s="3">
        <v>210.4</v>
      </c>
      <c r="V413" s="26">
        <v>5.9897088139981201E-2</v>
      </c>
      <c r="W413" s="18">
        <v>-0.639801601863765</v>
      </c>
      <c r="X413" s="18">
        <v>1.2397061752677001</v>
      </c>
      <c r="Y413" s="18">
        <v>0.424797059027827</v>
      </c>
      <c r="Z413" s="18">
        <v>-0.36732014993316597</v>
      </c>
      <c r="AA413" s="18">
        <v>-0.30642130802033402</v>
      </c>
      <c r="AB413" s="18">
        <v>1.14461454968364</v>
      </c>
      <c r="AC413" s="18">
        <v>-1.4060882027977699</v>
      </c>
      <c r="AD413" s="18">
        <v>0.11831929144443901</v>
      </c>
      <c r="AE413" s="21">
        <v>0.624771840695727</v>
      </c>
      <c r="AF413" s="3">
        <v>8.8050300000000004</v>
      </c>
      <c r="AG413" s="3">
        <v>4.2895200000000001E-2</v>
      </c>
      <c r="AH413" s="3">
        <v>1.41777</v>
      </c>
      <c r="AI413" s="3">
        <v>6.8763100000000001</v>
      </c>
      <c r="AJ413" s="3">
        <v>0.11192299999999999</v>
      </c>
      <c r="AK413" s="3">
        <v>3.1516600000000001</v>
      </c>
      <c r="AL413" s="3">
        <v>0.33543000000000001</v>
      </c>
      <c r="AM413" s="3">
        <v>0.16351099999999999</v>
      </c>
      <c r="AN413" s="3">
        <v>4.2793999999999999</v>
      </c>
      <c r="AO413" s="3">
        <v>32.578600000000002</v>
      </c>
      <c r="AP413" s="3">
        <v>6.2778E-2</v>
      </c>
      <c r="AQ413" s="3">
        <v>0.12636600000000001</v>
      </c>
      <c r="AR413" s="3">
        <v>31.991599999999998</v>
      </c>
      <c r="AS413" s="3">
        <v>4.5746599999999998E-2</v>
      </c>
      <c r="AT413" s="3">
        <v>5.86478E-2</v>
      </c>
      <c r="AU413" s="3">
        <v>9.7693899999999996</v>
      </c>
      <c r="AV413" s="3">
        <v>2.60951E-2</v>
      </c>
      <c r="AW413" s="3">
        <v>0.28161599999999998</v>
      </c>
      <c r="AX413" s="3">
        <v>2.2641499999999999</v>
      </c>
      <c r="AY413" s="3">
        <v>0.26050299999999998</v>
      </c>
      <c r="AZ413" s="21">
        <v>4.5506399999999996</v>
      </c>
      <c r="BA413" s="3">
        <v>28.63</v>
      </c>
      <c r="BB413" s="3">
        <v>5</v>
      </c>
    </row>
    <row r="414" spans="1:54" s="3" customFormat="1" ht="47.25" customHeight="1" x14ac:dyDescent="0.25">
      <c r="A414" s="2">
        <v>412</v>
      </c>
      <c r="B414" s="3">
        <v>11</v>
      </c>
      <c r="C414" s="2">
        <v>2</v>
      </c>
      <c r="D414" s="9">
        <v>66</v>
      </c>
      <c r="E414" s="3" t="s">
        <v>16</v>
      </c>
      <c r="F414" s="3">
        <f t="shared" si="55"/>
        <v>1</v>
      </c>
      <c r="G414" s="11"/>
      <c r="H414" s="3" t="s">
        <v>17</v>
      </c>
      <c r="I414" s="3">
        <f t="shared" si="51"/>
        <v>1</v>
      </c>
      <c r="J414" s="3" t="s">
        <v>23</v>
      </c>
      <c r="K414" s="3">
        <v>6</v>
      </c>
      <c r="L414" s="6" t="s">
        <v>172</v>
      </c>
      <c r="M414" s="3">
        <v>69</v>
      </c>
      <c r="N414" s="3">
        <f t="shared" si="52"/>
        <v>0.69</v>
      </c>
      <c r="O414" s="3">
        <v>79</v>
      </c>
      <c r="P414" s="3">
        <v>0.79</v>
      </c>
      <c r="Q414" s="17">
        <v>0.21904761904761899</v>
      </c>
      <c r="R414" s="21">
        <v>0.43879343949024868</v>
      </c>
      <c r="S414" s="3">
        <v>9</v>
      </c>
      <c r="T414" s="3">
        <v>210.4</v>
      </c>
      <c r="U414" s="3">
        <v>239.53</v>
      </c>
      <c r="V414" s="26">
        <v>0.34868526884462198</v>
      </c>
      <c r="W414" s="18">
        <v>-7.9265937899895902E-2</v>
      </c>
      <c r="X414" s="18">
        <v>0.12151166759597801</v>
      </c>
      <c r="Y414" s="18">
        <v>7.37537337298452E-2</v>
      </c>
      <c r="Z414" s="18">
        <v>0.50846880780829395</v>
      </c>
      <c r="AA414" s="18">
        <v>0.46851783242227102</v>
      </c>
      <c r="AB414" s="18">
        <v>0.79264879777599795</v>
      </c>
      <c r="AC414" s="18">
        <v>-1.75547495301394</v>
      </c>
      <c r="AD414" s="18">
        <v>1.32434889104906</v>
      </c>
      <c r="AE414" s="21">
        <v>0.19212849707229801</v>
      </c>
      <c r="AF414" s="3">
        <v>8.8247400000000003</v>
      </c>
      <c r="AG414" s="3">
        <v>0.32549</v>
      </c>
      <c r="AH414" s="3">
        <v>2.0151599999999998</v>
      </c>
      <c r="AI414" s="3">
        <v>4.12371</v>
      </c>
      <c r="AJ414" s="3">
        <v>0.112694</v>
      </c>
      <c r="AK414" s="3">
        <v>3.0640399999999999</v>
      </c>
      <c r="AL414" s="3">
        <v>0.28866000000000003</v>
      </c>
      <c r="AM414" s="3">
        <v>0.30705199999999999</v>
      </c>
      <c r="AN414" s="3">
        <v>4.8294199999999998</v>
      </c>
      <c r="AO414" s="3">
        <v>29.567</v>
      </c>
      <c r="AP414" s="3">
        <v>0.331453</v>
      </c>
      <c r="AQ414" s="3">
        <v>1.12869</v>
      </c>
      <c r="AR414" s="3">
        <v>20.948499999999999</v>
      </c>
      <c r="AS414" s="3">
        <v>0.57006199999999996</v>
      </c>
      <c r="AT414" s="3">
        <v>1.10402</v>
      </c>
      <c r="AU414" s="3">
        <v>8</v>
      </c>
      <c r="AV414" s="3">
        <v>0.17857100000000001</v>
      </c>
      <c r="AW414" s="3">
        <v>0.70407200000000003</v>
      </c>
      <c r="AX414" s="3">
        <v>0.98969099999999999</v>
      </c>
      <c r="AY414" s="3">
        <v>0.239701</v>
      </c>
      <c r="AZ414" s="21">
        <v>3.6596500000000001</v>
      </c>
      <c r="BA414" s="3">
        <v>29.126000000000001</v>
      </c>
      <c r="BB414" s="3">
        <v>6</v>
      </c>
    </row>
    <row r="415" spans="1:54" s="3" customFormat="1" ht="47.25" customHeight="1" x14ac:dyDescent="0.25">
      <c r="A415" s="2">
        <v>413</v>
      </c>
      <c r="B415" s="3">
        <v>11</v>
      </c>
      <c r="C415" s="2">
        <v>2</v>
      </c>
      <c r="D415" s="9">
        <v>66</v>
      </c>
      <c r="E415" s="3" t="s">
        <v>16</v>
      </c>
      <c r="F415" s="3">
        <f t="shared" si="55"/>
        <v>1</v>
      </c>
      <c r="G415" s="11"/>
      <c r="H415" s="3" t="s">
        <v>17</v>
      </c>
      <c r="I415" s="3">
        <f t="shared" si="51"/>
        <v>1</v>
      </c>
      <c r="J415" s="3" t="s">
        <v>24</v>
      </c>
      <c r="K415" s="3">
        <v>7</v>
      </c>
      <c r="L415" s="6" t="s">
        <v>148</v>
      </c>
      <c r="M415" s="3">
        <v>69</v>
      </c>
      <c r="N415" s="3">
        <f t="shared" si="52"/>
        <v>0.69</v>
      </c>
      <c r="O415" s="3">
        <v>79</v>
      </c>
      <c r="P415" s="3">
        <v>0.79</v>
      </c>
      <c r="Q415" s="17">
        <v>6.1222222222222213E-2</v>
      </c>
      <c r="R415" s="21">
        <v>0.1060399994411613</v>
      </c>
      <c r="S415" s="3">
        <v>11</v>
      </c>
      <c r="T415" s="3">
        <v>245.49</v>
      </c>
      <c r="U415" s="3">
        <v>270.38</v>
      </c>
      <c r="V415" s="26">
        <v>-6.9146971041869496E-2</v>
      </c>
      <c r="W415" s="18">
        <v>1.43601160282838</v>
      </c>
      <c r="X415" s="18">
        <v>-9.5702728268942605E-2</v>
      </c>
      <c r="Y415" s="18">
        <v>-0.87930760325440804</v>
      </c>
      <c r="Z415" s="18">
        <v>0.16360028682410099</v>
      </c>
      <c r="AA415" s="18">
        <v>-5.1586232397835101E-2</v>
      </c>
      <c r="AB415" s="18">
        <v>-0.56819779582350105</v>
      </c>
      <c r="AC415" s="18">
        <v>-0.82762240409080901</v>
      </c>
      <c r="AD415" s="18">
        <v>-0.33442386031504301</v>
      </c>
      <c r="AE415" s="21">
        <v>0.13481730090399899</v>
      </c>
      <c r="AF415" s="3">
        <v>15.1447</v>
      </c>
      <c r="AG415" s="3">
        <v>0.122138</v>
      </c>
      <c r="AH415" s="3">
        <v>1.55444</v>
      </c>
      <c r="AI415" s="3">
        <v>1.92926</v>
      </c>
      <c r="AJ415" s="3">
        <v>7.3854199999999995E-2</v>
      </c>
      <c r="AK415" s="3">
        <v>2.9939499999999999</v>
      </c>
      <c r="AL415" s="3">
        <v>0</v>
      </c>
      <c r="AM415" s="3">
        <v>0.27138499999999999</v>
      </c>
      <c r="AN415" s="3">
        <v>1.57237</v>
      </c>
      <c r="AO415" s="3">
        <v>34.726700000000001</v>
      </c>
      <c r="AP415" s="3">
        <v>0.23788799999999999</v>
      </c>
      <c r="AQ415" s="3">
        <v>0.60550400000000004</v>
      </c>
      <c r="AR415" s="3">
        <v>24.6463</v>
      </c>
      <c r="AS415" s="3">
        <v>0.183758</v>
      </c>
      <c r="AT415" s="3">
        <v>0.60536999999999996</v>
      </c>
      <c r="AU415" s="3">
        <v>9.5016099999999994</v>
      </c>
      <c r="AV415" s="3">
        <v>7.1460899999999994E-2</v>
      </c>
      <c r="AW415" s="3">
        <v>0.50059299999999995</v>
      </c>
      <c r="AX415" s="3">
        <v>0</v>
      </c>
      <c r="AY415" s="3">
        <v>0</v>
      </c>
      <c r="AZ415" s="21">
        <v>-0.56858299999999995</v>
      </c>
      <c r="BA415" s="3">
        <v>24.890999999999998</v>
      </c>
      <c r="BB415" s="3">
        <v>7</v>
      </c>
    </row>
    <row r="416" spans="1:54" s="3" customFormat="1" ht="31.5" customHeight="1" x14ac:dyDescent="0.25">
      <c r="A416" s="2">
        <v>414</v>
      </c>
      <c r="B416" s="3">
        <v>11</v>
      </c>
      <c r="C416" s="2">
        <v>2</v>
      </c>
      <c r="D416" s="9">
        <v>66</v>
      </c>
      <c r="E416" s="3" t="s">
        <v>16</v>
      </c>
      <c r="F416" s="3">
        <f t="shared" si="55"/>
        <v>1</v>
      </c>
      <c r="G416" s="11"/>
      <c r="H416" s="3" t="s">
        <v>17</v>
      </c>
      <c r="I416" s="3">
        <f t="shared" si="51"/>
        <v>1</v>
      </c>
      <c r="J416" s="3" t="s">
        <v>25</v>
      </c>
      <c r="K416" s="3">
        <v>8</v>
      </c>
      <c r="L416" s="6" t="s">
        <v>144</v>
      </c>
      <c r="M416" s="3">
        <v>69</v>
      </c>
      <c r="N416" s="3">
        <f t="shared" si="52"/>
        <v>0.69</v>
      </c>
      <c r="O416" s="3">
        <v>79</v>
      </c>
      <c r="P416" s="3">
        <v>0.79</v>
      </c>
      <c r="Q416" s="17">
        <v>0.57444444444444442</v>
      </c>
      <c r="R416" s="21">
        <v>0.50400778028974169</v>
      </c>
      <c r="S416" s="3">
        <v>12</v>
      </c>
      <c r="T416" s="3">
        <v>270.38</v>
      </c>
      <c r="U416" s="3">
        <v>292.7</v>
      </c>
      <c r="V416" s="26">
        <v>2.1274524699665598</v>
      </c>
      <c r="W416" s="18">
        <v>1.43152036679423</v>
      </c>
      <c r="X416" s="18">
        <v>0.58857560155867195</v>
      </c>
      <c r="Y416" s="18">
        <v>6.8262845368619901E-2</v>
      </c>
      <c r="Z416" s="18">
        <v>0.95712291554300799</v>
      </c>
      <c r="AA416" s="18">
        <v>1.08125382827018</v>
      </c>
      <c r="AB416" s="18">
        <v>-1.16908134025778</v>
      </c>
      <c r="AC416" s="18">
        <v>-1.3846635435864001</v>
      </c>
      <c r="AD416" s="18">
        <v>0.86312162571316098</v>
      </c>
      <c r="AE416" s="21">
        <v>1.40128236132895</v>
      </c>
      <c r="AF416" s="3">
        <v>5.8654700000000002</v>
      </c>
      <c r="AG416" s="3">
        <v>0.10068100000000001</v>
      </c>
      <c r="AH416" s="3">
        <v>1.39164</v>
      </c>
      <c r="AI416" s="3">
        <v>0</v>
      </c>
      <c r="AJ416" s="3">
        <v>9.8522399999999996E-2</v>
      </c>
      <c r="AK416" s="3">
        <v>0.42611300000000002</v>
      </c>
      <c r="AL416" s="3">
        <v>0</v>
      </c>
      <c r="AM416" s="3">
        <v>3.2506399999999998E-2</v>
      </c>
      <c r="AN416" s="3">
        <v>0.55069100000000004</v>
      </c>
      <c r="AO416" s="3">
        <v>35.4619</v>
      </c>
      <c r="AP416" s="3">
        <v>0.216692</v>
      </c>
      <c r="AQ416" s="3">
        <v>0.65198100000000003</v>
      </c>
      <c r="AR416" s="3">
        <v>46.87</v>
      </c>
      <c r="AS416" s="3">
        <v>0.38677299999999998</v>
      </c>
      <c r="AT416" s="3">
        <v>1.37307</v>
      </c>
      <c r="AU416" s="3">
        <v>18.026900000000001</v>
      </c>
      <c r="AV416" s="3">
        <v>0.13114799999999999</v>
      </c>
      <c r="AW416" s="3">
        <v>0.70091700000000001</v>
      </c>
      <c r="AX416" s="3">
        <v>0</v>
      </c>
      <c r="AY416" s="3">
        <v>4.4029699999999998E-2</v>
      </c>
      <c r="AZ416" s="21">
        <v>-0.51285099999999995</v>
      </c>
      <c r="BA416" s="3">
        <v>22.32</v>
      </c>
      <c r="BB416" s="3">
        <v>8</v>
      </c>
    </row>
    <row r="417" spans="1:54" s="3" customFormat="1" ht="31.5" customHeight="1" x14ac:dyDescent="0.25">
      <c r="A417" s="2">
        <v>415</v>
      </c>
      <c r="B417" s="3">
        <v>11</v>
      </c>
      <c r="C417" s="2">
        <v>2</v>
      </c>
      <c r="D417" s="9">
        <v>66</v>
      </c>
      <c r="E417" s="3" t="s">
        <v>16</v>
      </c>
      <c r="F417" s="3">
        <f t="shared" si="55"/>
        <v>1</v>
      </c>
      <c r="G417" s="11" t="s">
        <v>26</v>
      </c>
      <c r="H417" s="3" t="s">
        <v>26</v>
      </c>
      <c r="I417" s="3">
        <f t="shared" si="51"/>
        <v>2</v>
      </c>
      <c r="J417" s="3" t="s">
        <v>27</v>
      </c>
      <c r="K417" s="3">
        <v>1</v>
      </c>
      <c r="L417" s="6" t="s">
        <v>155</v>
      </c>
      <c r="M417" s="3">
        <v>69</v>
      </c>
      <c r="N417" s="3">
        <f t="shared" si="52"/>
        <v>0.69</v>
      </c>
      <c r="O417" s="3">
        <v>62</v>
      </c>
      <c r="P417" s="3">
        <v>0.62</v>
      </c>
      <c r="Q417" s="17">
        <v>-0.8</v>
      </c>
      <c r="R417" s="21">
        <v>0</v>
      </c>
      <c r="S417" s="3">
        <v>2</v>
      </c>
      <c r="T417" s="3">
        <v>30.25</v>
      </c>
      <c r="U417" s="3">
        <v>49.7</v>
      </c>
      <c r="V417" s="26">
        <v>1.2524807322210401</v>
      </c>
      <c r="W417" s="18">
        <v>1.2971375052785401</v>
      </c>
      <c r="X417" s="18">
        <v>0.64365864141459195</v>
      </c>
      <c r="Y417" s="18">
        <v>1.2572082639933</v>
      </c>
      <c r="Z417" s="18">
        <v>1.1167240770254601</v>
      </c>
      <c r="AA417" s="18">
        <v>0.89567164342753602</v>
      </c>
      <c r="AB417" s="18">
        <v>-2.8257682327970799</v>
      </c>
      <c r="AC417" s="18">
        <v>3.0023184647369899E-2</v>
      </c>
      <c r="AD417" s="18">
        <v>-0.874321996995857</v>
      </c>
      <c r="AE417" s="21">
        <v>-0.38997345616649798</v>
      </c>
      <c r="AF417" s="3">
        <v>12.098800000000001</v>
      </c>
      <c r="AG417" s="3">
        <v>0.28976600000000002</v>
      </c>
      <c r="AH417" s="3">
        <v>2.22431</v>
      </c>
      <c r="AI417" s="3">
        <v>0</v>
      </c>
      <c r="AJ417" s="3">
        <v>7.0468299999999998E-2</v>
      </c>
      <c r="AK417" s="3">
        <v>-0.60975999999999997</v>
      </c>
      <c r="AL417" s="3">
        <v>4.2592600000000003</v>
      </c>
      <c r="AM417" s="3">
        <v>0.10484599999999999</v>
      </c>
      <c r="AN417" s="3">
        <v>3.3142100000000001</v>
      </c>
      <c r="AO417" s="3">
        <v>9.1357999999999997</v>
      </c>
      <c r="AP417" s="3">
        <v>0.188695</v>
      </c>
      <c r="AQ417" s="3">
        <v>0.96125799999999995</v>
      </c>
      <c r="AR417" s="3">
        <v>22.345700000000001</v>
      </c>
      <c r="AS417" s="3">
        <v>5.2128899999999999E-2</v>
      </c>
      <c r="AT417" s="3">
        <v>0.20558100000000001</v>
      </c>
      <c r="AU417" s="3">
        <v>12.715999999999999</v>
      </c>
      <c r="AV417" s="3">
        <v>0.104993</v>
      </c>
      <c r="AW417" s="3">
        <v>0.97580199999999995</v>
      </c>
      <c r="AX417" s="3">
        <v>2.09877</v>
      </c>
      <c r="AY417" s="3">
        <v>0.14476800000000001</v>
      </c>
      <c r="AZ417" s="21">
        <v>2.5566800000000001</v>
      </c>
      <c r="BA417" s="3">
        <v>19.457000000000001</v>
      </c>
      <c r="BB417" s="3">
        <v>1</v>
      </c>
    </row>
    <row r="418" spans="1:54" s="3" customFormat="1" ht="94.5" customHeight="1" x14ac:dyDescent="0.25">
      <c r="A418" s="2">
        <v>416</v>
      </c>
      <c r="B418" s="3">
        <v>11</v>
      </c>
      <c r="C418" s="2">
        <v>2</v>
      </c>
      <c r="D418" s="9">
        <v>66</v>
      </c>
      <c r="E418" s="3" t="s">
        <v>16</v>
      </c>
      <c r="F418" s="3">
        <f t="shared" si="55"/>
        <v>1</v>
      </c>
      <c r="G418" s="11"/>
      <c r="H418" s="3" t="s">
        <v>26</v>
      </c>
      <c r="I418" s="3">
        <f t="shared" si="51"/>
        <v>2</v>
      </c>
      <c r="J418" s="3" t="s">
        <v>28</v>
      </c>
      <c r="K418" s="3">
        <v>2</v>
      </c>
      <c r="L418" s="6" t="s">
        <v>190</v>
      </c>
      <c r="M418" s="3">
        <v>69</v>
      </c>
      <c r="N418" s="3">
        <f t="shared" si="52"/>
        <v>0.69</v>
      </c>
      <c r="O418" s="3">
        <v>62</v>
      </c>
      <c r="P418" s="3">
        <v>0.62</v>
      </c>
      <c r="Q418" s="17">
        <v>0.32857142857142863</v>
      </c>
      <c r="R418" s="21">
        <v>0.41918287860346309</v>
      </c>
      <c r="S418" s="3">
        <v>3</v>
      </c>
      <c r="T418" s="3">
        <v>49.7</v>
      </c>
      <c r="U418" s="3">
        <v>92.56</v>
      </c>
      <c r="V418" s="26">
        <v>0.25688050504850002</v>
      </c>
      <c r="W418" s="18">
        <v>0.508177041947108</v>
      </c>
      <c r="X418" s="18">
        <v>-0.26004520984476798</v>
      </c>
      <c r="Y418" s="18">
        <v>0.285918671769059</v>
      </c>
      <c r="Z418" s="18">
        <v>0.145667572050793</v>
      </c>
      <c r="AA418" s="18">
        <v>-7.6698363375207801E-2</v>
      </c>
      <c r="AB418" s="18">
        <v>-0.108019165550091</v>
      </c>
      <c r="AC418" s="18">
        <v>-0.43209023403476998</v>
      </c>
      <c r="AD418" s="18">
        <v>-0.23595672395849501</v>
      </c>
      <c r="AE418" s="21">
        <v>-0.81137931034516197</v>
      </c>
      <c r="AF418" s="3">
        <v>13.445399999999999</v>
      </c>
      <c r="AG418" s="3">
        <v>0.130439</v>
      </c>
      <c r="AH418" s="3">
        <v>1.5006299999999999</v>
      </c>
      <c r="AI418" s="3">
        <v>0.98039200000000004</v>
      </c>
      <c r="AJ418" s="3">
        <v>0.230716</v>
      </c>
      <c r="AK418" s="3">
        <v>3.06765</v>
      </c>
      <c r="AL418" s="3">
        <v>0.78431399999999996</v>
      </c>
      <c r="AM418" s="3">
        <v>5.1098999999999999E-2</v>
      </c>
      <c r="AN418" s="3">
        <v>3.34457</v>
      </c>
      <c r="AO418" s="3">
        <v>13.977600000000001</v>
      </c>
      <c r="AP418" s="3">
        <v>0.31194</v>
      </c>
      <c r="AQ418" s="3">
        <v>0.85197599999999996</v>
      </c>
      <c r="AR418" s="3">
        <v>37.759099999999997</v>
      </c>
      <c r="AS418" s="3">
        <v>0.363012</v>
      </c>
      <c r="AT418" s="3">
        <v>1.5513699999999999</v>
      </c>
      <c r="AU418" s="3">
        <v>10.980399999999999</v>
      </c>
      <c r="AV418" s="3">
        <v>6.4807400000000001E-2</v>
      </c>
      <c r="AW418" s="3">
        <v>0.68261000000000005</v>
      </c>
      <c r="AX418" s="3">
        <v>1.51261</v>
      </c>
      <c r="AY418" s="3">
        <v>0.309672</v>
      </c>
      <c r="AZ418" s="21">
        <v>2.9225400000000001</v>
      </c>
      <c r="BA418" s="3">
        <v>42.857999999999997</v>
      </c>
      <c r="BB418" s="3">
        <v>2</v>
      </c>
    </row>
    <row r="419" spans="1:54" s="3" customFormat="1" ht="47.25" customHeight="1" x14ac:dyDescent="0.25">
      <c r="A419" s="2">
        <v>417</v>
      </c>
      <c r="B419" s="3">
        <v>11</v>
      </c>
      <c r="C419" s="2">
        <v>2</v>
      </c>
      <c r="D419" s="9">
        <v>66</v>
      </c>
      <c r="E419" s="3" t="s">
        <v>16</v>
      </c>
      <c r="F419" s="3">
        <f t="shared" si="55"/>
        <v>1</v>
      </c>
      <c r="G419" s="11"/>
      <c r="H419" s="3" t="s">
        <v>26</v>
      </c>
      <c r="I419" s="3">
        <f t="shared" si="51"/>
        <v>2</v>
      </c>
      <c r="J419" s="3" t="s">
        <v>29</v>
      </c>
      <c r="K419" s="3">
        <v>3</v>
      </c>
      <c r="L419" s="6" t="s">
        <v>146</v>
      </c>
      <c r="M419" s="3">
        <v>69</v>
      </c>
      <c r="N419" s="3">
        <f t="shared" si="52"/>
        <v>0.69</v>
      </c>
      <c r="O419" s="3">
        <v>62</v>
      </c>
      <c r="P419" s="3">
        <v>0.62</v>
      </c>
      <c r="Q419" s="17">
        <v>-0.12916666666666671</v>
      </c>
      <c r="R419" s="21">
        <v>0.28099525500145611</v>
      </c>
      <c r="S419" s="3">
        <v>4</v>
      </c>
      <c r="T419" s="3">
        <v>92.56</v>
      </c>
      <c r="U419" s="3">
        <v>108.26</v>
      </c>
      <c r="V419" s="26">
        <v>2.07995320576208</v>
      </c>
      <c r="W419" s="18">
        <v>1.3402654013028501</v>
      </c>
      <c r="X419" s="18">
        <v>1.2888214713792401</v>
      </c>
      <c r="Y419" s="18">
        <v>0.564161035053236</v>
      </c>
      <c r="Z419" s="18">
        <v>0.532341734350261</v>
      </c>
      <c r="AA419" s="18">
        <v>-0.16798626485774501</v>
      </c>
      <c r="AB419" s="18">
        <v>-0.550605768735979</v>
      </c>
      <c r="AC419" s="18">
        <v>1.6236882198314999</v>
      </c>
      <c r="AD419" s="18">
        <v>-0.600002324691843</v>
      </c>
      <c r="AE419" s="21">
        <v>-0.69113817328618299</v>
      </c>
      <c r="AF419" s="3">
        <v>7.9693500000000004</v>
      </c>
      <c r="AG419" s="3">
        <v>0.27459</v>
      </c>
      <c r="AH419" s="3">
        <v>1.68448</v>
      </c>
      <c r="AI419" s="3">
        <v>8.4291199999999993</v>
      </c>
      <c r="AJ419" s="3">
        <v>0.23311699999999999</v>
      </c>
      <c r="AK419" s="3">
        <v>2.98231</v>
      </c>
      <c r="AL419" s="3">
        <v>1.2260500000000001</v>
      </c>
      <c r="AM419" s="3">
        <v>0.36798500000000001</v>
      </c>
      <c r="AN419" s="3">
        <v>4.4657600000000004</v>
      </c>
      <c r="AO419" s="3">
        <v>23.295000000000002</v>
      </c>
      <c r="AP419" s="3">
        <v>0.25041999999999998</v>
      </c>
      <c r="AQ419" s="3">
        <v>1.1347</v>
      </c>
      <c r="AR419" s="3">
        <v>34.636000000000003</v>
      </c>
      <c r="AS419" s="3">
        <v>0.683778</v>
      </c>
      <c r="AT419" s="3">
        <v>1.30477</v>
      </c>
      <c r="AU419" s="3">
        <v>11.340999999999999</v>
      </c>
      <c r="AV419" s="3">
        <v>0.302153</v>
      </c>
      <c r="AW419" s="3">
        <v>1.1869700000000001</v>
      </c>
      <c r="AX419" s="3">
        <v>3.6015299999999999</v>
      </c>
      <c r="AY419" s="3">
        <v>0.45372499999999999</v>
      </c>
      <c r="AZ419" s="21">
        <v>3.1007199999999999</v>
      </c>
      <c r="BA419" s="3">
        <v>15.696999999999999</v>
      </c>
      <c r="BB419" s="3">
        <v>3</v>
      </c>
    </row>
    <row r="420" spans="1:54" s="3" customFormat="1" ht="47.25" customHeight="1" x14ac:dyDescent="0.25">
      <c r="A420" s="2">
        <v>418</v>
      </c>
      <c r="B420" s="3">
        <v>11</v>
      </c>
      <c r="C420" s="2">
        <v>2</v>
      </c>
      <c r="D420" s="9">
        <v>66</v>
      </c>
      <c r="E420" s="3" t="s">
        <v>16</v>
      </c>
      <c r="F420" s="3">
        <f t="shared" si="55"/>
        <v>1</v>
      </c>
      <c r="G420" s="11"/>
      <c r="H420" s="3" t="s">
        <v>26</v>
      </c>
      <c r="I420" s="3">
        <f t="shared" si="51"/>
        <v>2</v>
      </c>
      <c r="J420" s="3" t="s">
        <v>30</v>
      </c>
      <c r="K420" s="3">
        <v>4</v>
      </c>
      <c r="L420" s="6" t="s">
        <v>144</v>
      </c>
      <c r="M420" s="3">
        <v>69</v>
      </c>
      <c r="N420" s="3">
        <f t="shared" si="52"/>
        <v>0.69</v>
      </c>
      <c r="O420" s="3">
        <v>62</v>
      </c>
      <c r="P420" s="3">
        <v>0.62</v>
      </c>
      <c r="Q420" s="17">
        <v>-0.16111111111111109</v>
      </c>
      <c r="R420" s="21">
        <v>0.34170054032626179</v>
      </c>
      <c r="S420" s="3">
        <v>5</v>
      </c>
      <c r="T420" s="3">
        <v>108.26</v>
      </c>
      <c r="U420" s="3">
        <v>130</v>
      </c>
      <c r="V420" s="26">
        <v>1.4595963673637999</v>
      </c>
      <c r="W420" s="18">
        <v>0.44497225150825898</v>
      </c>
      <c r="X420" s="18">
        <v>-0.41494258930209599</v>
      </c>
      <c r="Y420" s="18">
        <v>1.79766856126256</v>
      </c>
      <c r="Z420" s="18">
        <v>2.54943590794548</v>
      </c>
      <c r="AA420" s="18">
        <v>2.4282190170184998</v>
      </c>
      <c r="AB420" s="18">
        <v>-0.40774097936329401</v>
      </c>
      <c r="AC420" s="18">
        <v>-1.16547279934701</v>
      </c>
      <c r="AD420" s="18">
        <v>-0.70181168760879697</v>
      </c>
      <c r="AE420" s="21">
        <v>-1.6058698140900001</v>
      </c>
      <c r="AF420" s="3">
        <v>17.569099999999999</v>
      </c>
      <c r="AG420" s="3">
        <v>0.22461900000000001</v>
      </c>
      <c r="AH420" s="3">
        <v>1.7552399999999999</v>
      </c>
      <c r="AI420" s="3">
        <v>0</v>
      </c>
      <c r="AJ420" s="3">
        <v>0.33951199999999998</v>
      </c>
      <c r="AK420" s="3">
        <v>0.18784799999999999</v>
      </c>
      <c r="AL420" s="3">
        <v>1.2154700000000001</v>
      </c>
      <c r="AM420" s="3">
        <v>4.4293399999999997E-2</v>
      </c>
      <c r="AN420" s="3">
        <v>3.0238399999999999</v>
      </c>
      <c r="AO420" s="3">
        <v>29.0608</v>
      </c>
      <c r="AP420" s="3">
        <v>0.225499</v>
      </c>
      <c r="AQ420" s="3">
        <v>0.811527</v>
      </c>
      <c r="AR420" s="3">
        <v>35.524900000000002</v>
      </c>
      <c r="AS420" s="3">
        <v>0.30465500000000001</v>
      </c>
      <c r="AT420" s="3">
        <v>0.837982</v>
      </c>
      <c r="AU420" s="3">
        <v>10.497199999999999</v>
      </c>
      <c r="AV420" s="3">
        <v>0.26581500000000002</v>
      </c>
      <c r="AW420" s="3">
        <v>1.3129200000000001</v>
      </c>
      <c r="AX420" s="3">
        <v>0</v>
      </c>
      <c r="AY420" s="3">
        <v>0.17267199999999999</v>
      </c>
      <c r="AZ420" s="21">
        <v>-0.354126</v>
      </c>
      <c r="BA420" s="3">
        <v>21.736000000000001</v>
      </c>
      <c r="BB420" s="3">
        <v>4</v>
      </c>
    </row>
    <row r="421" spans="1:54" s="3" customFormat="1" ht="31.5" customHeight="1" x14ac:dyDescent="0.25">
      <c r="A421" s="2">
        <v>419</v>
      </c>
      <c r="B421" s="3">
        <v>11</v>
      </c>
      <c r="C421" s="2">
        <v>2</v>
      </c>
      <c r="D421" s="9">
        <v>66</v>
      </c>
      <c r="E421" s="3" t="s">
        <v>16</v>
      </c>
      <c r="F421" s="3">
        <f>IF(E422="Happy", 1,2)</f>
        <v>1</v>
      </c>
      <c r="G421" s="11"/>
      <c r="H421" s="3" t="s">
        <v>26</v>
      </c>
      <c r="I421" s="3">
        <f t="shared" si="51"/>
        <v>2</v>
      </c>
      <c r="J421" s="3" t="s">
        <v>31</v>
      </c>
      <c r="K421" s="3">
        <v>5</v>
      </c>
      <c r="L421" s="6" t="s">
        <v>155</v>
      </c>
      <c r="M421" s="3">
        <v>69</v>
      </c>
      <c r="N421" s="3">
        <f t="shared" si="52"/>
        <v>0.69</v>
      </c>
      <c r="O421" s="3">
        <v>62</v>
      </c>
      <c r="P421" s="3">
        <v>0.62</v>
      </c>
      <c r="Q421" s="17">
        <v>0.47499999999999998</v>
      </c>
      <c r="R421" s="21">
        <v>0.31754264805429422</v>
      </c>
      <c r="S421" s="3">
        <v>6</v>
      </c>
      <c r="T421" s="3">
        <v>130</v>
      </c>
      <c r="U421" s="3">
        <v>149.19</v>
      </c>
      <c r="V421" s="26">
        <v>-0.32727501146323301</v>
      </c>
      <c r="W421" s="18">
        <v>-1.2456706795472801</v>
      </c>
      <c r="X421" s="18">
        <v>-0.16556358484570599</v>
      </c>
      <c r="Y421" s="18">
        <v>-0.33697965688269199</v>
      </c>
      <c r="Z421" s="18">
        <v>-0.22027188879203599</v>
      </c>
      <c r="AA421" s="18">
        <v>-0.36913089706664898</v>
      </c>
      <c r="AB421" s="18">
        <v>0.60439532641593496</v>
      </c>
      <c r="AC421" s="18">
        <v>-0.798616711620033</v>
      </c>
      <c r="AD421" s="18">
        <v>0.16253951978210601</v>
      </c>
      <c r="AE421" s="21">
        <v>2.5609912720286299</v>
      </c>
      <c r="AF421" s="3">
        <v>6.8821700000000003</v>
      </c>
      <c r="AG421" s="3">
        <v>0.33779599999999999</v>
      </c>
      <c r="AH421" s="3">
        <v>2.02874</v>
      </c>
      <c r="AI421" s="3">
        <v>10.073</v>
      </c>
      <c r="AJ421" s="3">
        <v>8.0791500000000002E-2</v>
      </c>
      <c r="AK421" s="3">
        <v>2.4356300000000002</v>
      </c>
      <c r="AL421" s="3">
        <v>0</v>
      </c>
      <c r="AM421" s="3">
        <v>0</v>
      </c>
      <c r="AN421" s="3">
        <v>-0.467976</v>
      </c>
      <c r="AO421" s="3">
        <v>30.5944</v>
      </c>
      <c r="AP421" s="3">
        <v>7.9686900000000005E-2</v>
      </c>
      <c r="AQ421" s="3">
        <v>0.47382999999999997</v>
      </c>
      <c r="AR421" s="3">
        <v>25.526599999999998</v>
      </c>
      <c r="AS421" s="3">
        <v>5.3443900000000003E-2</v>
      </c>
      <c r="AT421" s="3">
        <v>0.29086899999999999</v>
      </c>
      <c r="AU421" s="3">
        <v>22.0855</v>
      </c>
      <c r="AV421" s="3">
        <v>0.27237499999999998</v>
      </c>
      <c r="AW421" s="3">
        <v>1.4472400000000001</v>
      </c>
      <c r="AX421" s="3">
        <v>0.81334700000000004</v>
      </c>
      <c r="AY421" s="3">
        <v>0.451766</v>
      </c>
      <c r="AZ421" s="21">
        <v>3.0615000000000001</v>
      </c>
      <c r="BA421" s="3">
        <v>19.193999999999999</v>
      </c>
      <c r="BB421" s="3">
        <v>5</v>
      </c>
    </row>
    <row r="422" spans="1:54" s="3" customFormat="1" ht="78.75" customHeight="1" x14ac:dyDescent="0.25">
      <c r="A422" s="2">
        <v>420</v>
      </c>
      <c r="B422" s="3">
        <v>11</v>
      </c>
      <c r="C422" s="2">
        <v>2</v>
      </c>
      <c r="D422" s="9">
        <v>66</v>
      </c>
      <c r="E422" s="3" t="s">
        <v>16</v>
      </c>
      <c r="F422" s="3">
        <f>IF(E423="Happy", 1,2)</f>
        <v>1</v>
      </c>
      <c r="G422" s="11"/>
      <c r="H422" s="3" t="s">
        <v>26</v>
      </c>
      <c r="I422" s="3">
        <f t="shared" si="51"/>
        <v>2</v>
      </c>
      <c r="J422" s="3" t="s">
        <v>32</v>
      </c>
      <c r="K422" s="3">
        <v>6</v>
      </c>
      <c r="L422" s="6" t="s">
        <v>216</v>
      </c>
      <c r="M422" s="3">
        <v>69</v>
      </c>
      <c r="N422" s="3">
        <f t="shared" si="52"/>
        <v>0.69</v>
      </c>
      <c r="O422" s="3">
        <v>62</v>
      </c>
      <c r="P422" s="3">
        <v>0.62</v>
      </c>
      <c r="Q422" s="17">
        <v>0.46166666666666661</v>
      </c>
      <c r="R422" s="21">
        <v>0.4908750689669758</v>
      </c>
      <c r="S422" s="3">
        <v>8</v>
      </c>
      <c r="T422" s="3">
        <v>154.01</v>
      </c>
      <c r="U422" s="3">
        <v>189.35</v>
      </c>
      <c r="V422" s="26">
        <v>-5.3435384888323497E-3</v>
      </c>
      <c r="W422" s="18">
        <v>0.76602879408005298</v>
      </c>
      <c r="X422" s="18">
        <v>1.88949018115748</v>
      </c>
      <c r="Y422" s="18">
        <v>-1.6677835811165401E-2</v>
      </c>
      <c r="Z422" s="18">
        <v>0.52875519139559901</v>
      </c>
      <c r="AA422" s="18">
        <v>0.675073952010807</v>
      </c>
      <c r="AB422" s="18">
        <v>-2.1437485064929498</v>
      </c>
      <c r="AC422" s="18">
        <v>-0.31903395542708401</v>
      </c>
      <c r="AD422" s="18">
        <v>-0.349592427012266</v>
      </c>
      <c r="AE422" s="21">
        <v>0.10335233045865901</v>
      </c>
      <c r="AF422" s="3">
        <v>4.0430400000000004</v>
      </c>
      <c r="AG422" s="3">
        <v>0.29783599999999999</v>
      </c>
      <c r="AH422" s="3">
        <v>1.9474400000000001</v>
      </c>
      <c r="AI422" s="3">
        <v>0.84937700000000005</v>
      </c>
      <c r="AJ422" s="3">
        <v>0.29303000000000001</v>
      </c>
      <c r="AK422" s="3">
        <v>3.2996400000000001</v>
      </c>
      <c r="AL422" s="3">
        <v>3.7712300000000001</v>
      </c>
      <c r="AM422" s="3">
        <v>0.14690500000000001</v>
      </c>
      <c r="AN422" s="3">
        <v>3.6765699999999999</v>
      </c>
      <c r="AO422" s="3">
        <v>22.389600000000002</v>
      </c>
      <c r="AP422" s="3">
        <v>0.50936700000000001</v>
      </c>
      <c r="AQ422" s="3">
        <v>1.7530300000000001</v>
      </c>
      <c r="AR422" s="3">
        <v>17.327300000000001</v>
      </c>
      <c r="AS422" s="3">
        <v>0.11643100000000001</v>
      </c>
      <c r="AT422" s="3">
        <v>0.31401800000000002</v>
      </c>
      <c r="AU422" s="3">
        <v>11.9932</v>
      </c>
      <c r="AV422" s="3">
        <v>0.140015</v>
      </c>
      <c r="AW422" s="3">
        <v>1.0289200000000001</v>
      </c>
      <c r="AX422" s="3">
        <v>2.37826</v>
      </c>
      <c r="AY422" s="3">
        <v>0.08</v>
      </c>
      <c r="AZ422" s="21">
        <v>2.27834</v>
      </c>
      <c r="BA422" s="3">
        <v>35.338000000000001</v>
      </c>
      <c r="BB422" s="3">
        <v>6</v>
      </c>
    </row>
    <row r="423" spans="1:54" s="3" customFormat="1" ht="63" customHeight="1" x14ac:dyDescent="0.25">
      <c r="A423" s="2">
        <v>421</v>
      </c>
      <c r="B423" s="3">
        <v>11</v>
      </c>
      <c r="C423" s="2">
        <v>2</v>
      </c>
      <c r="D423" s="9">
        <v>66</v>
      </c>
      <c r="E423" s="3" t="s">
        <v>16</v>
      </c>
      <c r="F423" s="3">
        <f t="shared" ref="F423:F430" si="56">IF(E423="Happy", 1,2)</f>
        <v>1</v>
      </c>
      <c r="G423" s="11"/>
      <c r="H423" s="3" t="s">
        <v>26</v>
      </c>
      <c r="I423" s="3">
        <f t="shared" si="51"/>
        <v>2</v>
      </c>
      <c r="J423" s="3" t="s">
        <v>33</v>
      </c>
      <c r="K423" s="3">
        <v>7</v>
      </c>
      <c r="L423" s="6" t="s">
        <v>155</v>
      </c>
      <c r="M423" s="3">
        <v>69</v>
      </c>
      <c r="N423" s="3">
        <f t="shared" si="52"/>
        <v>0.69</v>
      </c>
      <c r="O423" s="3">
        <v>62</v>
      </c>
      <c r="P423" s="3">
        <v>0.62</v>
      </c>
      <c r="Q423" s="17">
        <v>0.1273333333333333</v>
      </c>
      <c r="R423" s="21">
        <v>0.60047388693338599</v>
      </c>
      <c r="S423" s="3">
        <v>9</v>
      </c>
      <c r="T423" s="3">
        <v>189.35</v>
      </c>
      <c r="U423" s="3">
        <v>208.72</v>
      </c>
      <c r="V423" s="26">
        <v>1.0787559061055401</v>
      </c>
      <c r="W423" s="18">
        <v>0.71952578764317898</v>
      </c>
      <c r="X423" s="18">
        <v>1.8315648120694701</v>
      </c>
      <c r="Y423" s="18">
        <v>1.08818602022086</v>
      </c>
      <c r="Z423" s="18">
        <v>0.61505638124214701</v>
      </c>
      <c r="AA423" s="18">
        <v>0.407895026090978</v>
      </c>
      <c r="AB423" s="18">
        <v>0.25643629953890401</v>
      </c>
      <c r="AC423" s="18">
        <v>1.6925767394495901</v>
      </c>
      <c r="AD423" s="18">
        <v>-0.77379810583290498</v>
      </c>
      <c r="AE423" s="21">
        <v>0.19774724179468001</v>
      </c>
      <c r="AF423" s="3">
        <v>26.122</v>
      </c>
      <c r="AG423" s="3">
        <v>0.37173800000000001</v>
      </c>
      <c r="AH423" s="3">
        <v>2.21719</v>
      </c>
      <c r="AI423" s="3">
        <v>0</v>
      </c>
      <c r="AJ423" s="3">
        <v>0</v>
      </c>
      <c r="AK423" s="3">
        <v>-0.68869800000000003</v>
      </c>
      <c r="AL423" s="3">
        <v>0.86866600000000005</v>
      </c>
      <c r="AM423" s="3">
        <v>4.2236599999999999E-2</v>
      </c>
      <c r="AN423" s="3">
        <v>3.05592</v>
      </c>
      <c r="AO423" s="3">
        <v>22.3992</v>
      </c>
      <c r="AP423" s="3">
        <v>0.23500399999999999</v>
      </c>
      <c r="AQ423" s="3">
        <v>1.45459</v>
      </c>
      <c r="AR423" s="3">
        <v>28.603899999999999</v>
      </c>
      <c r="AS423" s="3">
        <v>0.57410700000000003</v>
      </c>
      <c r="AT423" s="3">
        <v>1.3444700000000001</v>
      </c>
      <c r="AU423" s="3">
        <v>17.063099999999999</v>
      </c>
      <c r="AV423" s="3">
        <v>0.165134</v>
      </c>
      <c r="AW423" s="3">
        <v>1.01007</v>
      </c>
      <c r="AX423" s="3">
        <v>6.2047600000000003</v>
      </c>
      <c r="AY423" s="3">
        <v>0.25493100000000002</v>
      </c>
      <c r="AZ423" s="21">
        <v>2.5643500000000001</v>
      </c>
      <c r="BA423" s="3">
        <v>19.369</v>
      </c>
      <c r="BB423" s="3">
        <v>7</v>
      </c>
    </row>
    <row r="424" spans="1:54" s="3" customFormat="1" ht="31.5" customHeight="1" x14ac:dyDescent="0.25">
      <c r="A424" s="2">
        <v>422</v>
      </c>
      <c r="B424" s="3">
        <v>11</v>
      </c>
      <c r="C424" s="2">
        <v>2</v>
      </c>
      <c r="D424" s="9">
        <v>66</v>
      </c>
      <c r="E424" s="3" t="s">
        <v>16</v>
      </c>
      <c r="F424" s="3">
        <f t="shared" si="56"/>
        <v>1</v>
      </c>
      <c r="G424" s="11"/>
      <c r="H424" s="3" t="s">
        <v>26</v>
      </c>
      <c r="I424" s="3">
        <f t="shared" si="51"/>
        <v>2</v>
      </c>
      <c r="J424" s="3" t="s">
        <v>34</v>
      </c>
      <c r="K424" s="3">
        <v>8</v>
      </c>
      <c r="L424" s="6" t="s">
        <v>157</v>
      </c>
      <c r="M424" s="3">
        <v>69</v>
      </c>
      <c r="N424" s="3">
        <f t="shared" si="52"/>
        <v>0.69</v>
      </c>
      <c r="O424" s="3">
        <v>62</v>
      </c>
      <c r="P424" s="3">
        <v>0.62</v>
      </c>
      <c r="Q424" s="17">
        <v>0.48083333333333328</v>
      </c>
      <c r="R424" s="21">
        <v>0.40292937760026049</v>
      </c>
      <c r="S424" s="3">
        <v>10</v>
      </c>
      <c r="T424" s="3">
        <v>208.72</v>
      </c>
      <c r="U424" s="3">
        <v>222.39</v>
      </c>
      <c r="V424" s="26">
        <v>0.39199271699474802</v>
      </c>
      <c r="W424" s="18">
        <v>-0.492319301915146</v>
      </c>
      <c r="X424" s="18">
        <v>-0.47309366151890497</v>
      </c>
      <c r="Y424" s="18">
        <v>1.7015966914321301</v>
      </c>
      <c r="Z424" s="18">
        <v>1.1228884477287799</v>
      </c>
      <c r="AA424" s="18">
        <v>1.59124230230222</v>
      </c>
      <c r="AB424" s="18">
        <v>1.0294838101322099</v>
      </c>
      <c r="AC424" s="18">
        <v>0.77230522378587096</v>
      </c>
      <c r="AD424" s="18">
        <v>-0.264494196897338</v>
      </c>
      <c r="AE424" s="21">
        <v>1.16529508298889</v>
      </c>
      <c r="AF424" s="3">
        <v>5.4465599999999998</v>
      </c>
      <c r="AG424" s="3">
        <v>5.9329600000000003E-2</v>
      </c>
      <c r="AH424" s="3">
        <v>1.2549600000000001</v>
      </c>
      <c r="AI424" s="3">
        <v>4.3923899999999998</v>
      </c>
      <c r="AJ424" s="3">
        <v>0.17025499999999999</v>
      </c>
      <c r="AK424" s="3">
        <v>2.7506300000000001</v>
      </c>
      <c r="AL424" s="3">
        <v>2.7232799999999999</v>
      </c>
      <c r="AM424" s="3">
        <v>0.93307300000000004</v>
      </c>
      <c r="AN424" s="3">
        <v>7.1971100000000003</v>
      </c>
      <c r="AO424" s="3">
        <v>23.191800000000001</v>
      </c>
      <c r="AP424" s="3">
        <v>6.8219100000000005E-2</v>
      </c>
      <c r="AQ424" s="3">
        <v>0.49561699999999997</v>
      </c>
      <c r="AR424" s="3">
        <v>23.806699999999999</v>
      </c>
      <c r="AS424" s="3">
        <v>0.31170799999999999</v>
      </c>
      <c r="AT424" s="3">
        <v>1.0680499999999999</v>
      </c>
      <c r="AU424" s="3">
        <v>2.6354299999999999</v>
      </c>
      <c r="AV424" s="3">
        <v>0.25806099999999998</v>
      </c>
      <c r="AW424" s="3">
        <v>1.2258800000000001</v>
      </c>
      <c r="AX424" s="3">
        <v>0</v>
      </c>
      <c r="AY424" s="3">
        <v>0.238178</v>
      </c>
      <c r="AZ424" s="21">
        <v>-0.27811399999999997</v>
      </c>
      <c r="BA424" s="3">
        <v>13.673</v>
      </c>
      <c r="BB424" s="3">
        <v>8</v>
      </c>
    </row>
    <row r="425" spans="1:54" s="3" customFormat="1" ht="47.25" customHeight="1" x14ac:dyDescent="0.25">
      <c r="A425" s="2">
        <v>423</v>
      </c>
      <c r="B425" s="3">
        <v>11</v>
      </c>
      <c r="C425" s="2">
        <v>2</v>
      </c>
      <c r="D425" s="9">
        <v>66</v>
      </c>
      <c r="E425" s="3" t="s">
        <v>16</v>
      </c>
      <c r="F425" s="3">
        <f t="shared" si="56"/>
        <v>1</v>
      </c>
      <c r="G425" s="11"/>
      <c r="H425" s="3" t="s">
        <v>26</v>
      </c>
      <c r="I425" s="3">
        <f t="shared" si="51"/>
        <v>2</v>
      </c>
      <c r="J425" s="3" t="s">
        <v>35</v>
      </c>
      <c r="K425" s="3">
        <v>9</v>
      </c>
      <c r="L425" s="6" t="s">
        <v>223</v>
      </c>
      <c r="M425" s="3">
        <v>69</v>
      </c>
      <c r="N425" s="3">
        <f t="shared" si="52"/>
        <v>0.69</v>
      </c>
      <c r="O425" s="3">
        <v>62</v>
      </c>
      <c r="P425" s="3">
        <v>0.62</v>
      </c>
      <c r="Q425" s="17">
        <v>0.54449999999999998</v>
      </c>
      <c r="R425" s="21">
        <v>0.27256217435456598</v>
      </c>
      <c r="S425" s="3">
        <v>11</v>
      </c>
      <c r="T425" s="3">
        <v>222.39</v>
      </c>
      <c r="U425" s="3">
        <v>249.32</v>
      </c>
      <c r="V425" s="26">
        <v>0.62162439265803604</v>
      </c>
      <c r="W425" s="18">
        <v>-5.6809757729171698E-2</v>
      </c>
      <c r="X425" s="18">
        <v>-0.30123411811122403</v>
      </c>
      <c r="Y425" s="18">
        <v>0.133144975188005</v>
      </c>
      <c r="Z425" s="18">
        <v>-0.35734507734051302</v>
      </c>
      <c r="AA425" s="18">
        <v>2.0637671061033001E-2</v>
      </c>
      <c r="AB425" s="18">
        <v>-0.41647438782845198</v>
      </c>
      <c r="AC425" s="18">
        <v>0.55245525926305605</v>
      </c>
      <c r="AD425" s="18">
        <v>1.18963145122965</v>
      </c>
      <c r="AE425" s="21">
        <v>1.21474003654586</v>
      </c>
      <c r="AF425" s="3">
        <v>6.01783</v>
      </c>
      <c r="AG425" s="3">
        <v>0.222665</v>
      </c>
      <c r="AH425" s="3">
        <v>2.14263</v>
      </c>
      <c r="AI425" s="3">
        <v>1.8722099999999999</v>
      </c>
      <c r="AJ425" s="3">
        <v>0.135131</v>
      </c>
      <c r="AK425" s="3">
        <v>2.7530999999999999</v>
      </c>
      <c r="AL425" s="3">
        <v>1.42645</v>
      </c>
      <c r="AM425" s="3">
        <v>0.18182699999999999</v>
      </c>
      <c r="AN425" s="3">
        <v>3.96393</v>
      </c>
      <c r="AO425" s="3">
        <v>22.555700000000002</v>
      </c>
      <c r="AP425" s="3">
        <v>1.7224E-2</v>
      </c>
      <c r="AQ425" s="3">
        <v>0.30921799999999999</v>
      </c>
      <c r="AR425" s="3">
        <v>41.2333</v>
      </c>
      <c r="AS425" s="3">
        <v>0.23525799999999999</v>
      </c>
      <c r="AT425" s="3">
        <v>0.74797899999999995</v>
      </c>
      <c r="AU425" s="3">
        <v>6.1069800000000001</v>
      </c>
      <c r="AV425" s="3">
        <v>4.3204899999999997E-2</v>
      </c>
      <c r="AW425" s="3">
        <v>0.63406300000000004</v>
      </c>
      <c r="AX425" s="3">
        <v>1.0252600000000001</v>
      </c>
      <c r="AY425" s="3">
        <v>0.50034999999999996</v>
      </c>
      <c r="AZ425" s="21">
        <v>4.49878</v>
      </c>
      <c r="BA425" s="3">
        <v>26.934000000000001</v>
      </c>
      <c r="BB425" s="3">
        <v>9</v>
      </c>
    </row>
    <row r="426" spans="1:54" s="3" customFormat="1" ht="47.25" customHeight="1" x14ac:dyDescent="0.25">
      <c r="A426" s="2">
        <v>424</v>
      </c>
      <c r="B426" s="3">
        <v>11</v>
      </c>
      <c r="C426" s="2">
        <v>2</v>
      </c>
      <c r="D426" s="9">
        <v>66</v>
      </c>
      <c r="E426" s="3" t="s">
        <v>16</v>
      </c>
      <c r="F426" s="3">
        <f t="shared" si="56"/>
        <v>1</v>
      </c>
      <c r="G426" s="11"/>
      <c r="H426" s="3" t="s">
        <v>26</v>
      </c>
      <c r="I426" s="3">
        <f t="shared" si="51"/>
        <v>2</v>
      </c>
      <c r="J426" s="3" t="s">
        <v>36</v>
      </c>
      <c r="K426" s="3">
        <v>10</v>
      </c>
      <c r="L426" s="6" t="s">
        <v>155</v>
      </c>
      <c r="M426" s="3">
        <v>69</v>
      </c>
      <c r="N426" s="3">
        <f t="shared" si="52"/>
        <v>0.69</v>
      </c>
      <c r="O426" s="3">
        <v>62</v>
      </c>
      <c r="P426" s="3">
        <v>0.62</v>
      </c>
      <c r="Q426" s="17">
        <v>0</v>
      </c>
      <c r="R426" s="21">
        <v>0</v>
      </c>
      <c r="S426" s="3">
        <v>13</v>
      </c>
      <c r="T426" s="3">
        <v>263.35000000000002</v>
      </c>
      <c r="U426" s="3">
        <v>282.56</v>
      </c>
      <c r="V426" s="26">
        <v>0.276306578306107</v>
      </c>
      <c r="W426" s="18">
        <v>-0.92531589260582403</v>
      </c>
      <c r="X426" s="18">
        <v>0.262472835219489</v>
      </c>
      <c r="Y426" s="18">
        <v>0.75256947650918304</v>
      </c>
      <c r="Z426" s="18">
        <v>3.5605535129612703E-2</v>
      </c>
      <c r="AA426" s="18">
        <v>0.498723127992238</v>
      </c>
      <c r="AB426" s="18">
        <v>-0.17503790219490201</v>
      </c>
      <c r="AC426" s="18">
        <v>-0.92386856547111296</v>
      </c>
      <c r="AD426" s="18">
        <v>-0.83370108956939504</v>
      </c>
      <c r="AE426" s="21">
        <v>-0.36862222622144503</v>
      </c>
      <c r="AF426" s="3">
        <v>9.63504</v>
      </c>
      <c r="AG426" s="3">
        <v>0.26796599999999998</v>
      </c>
      <c r="AH426" s="3">
        <v>1.77651</v>
      </c>
      <c r="AI426" s="3">
        <v>0.43795600000000001</v>
      </c>
      <c r="AJ426" s="3">
        <v>0.27324300000000001</v>
      </c>
      <c r="AK426" s="3">
        <v>2.96461</v>
      </c>
      <c r="AL426" s="3">
        <v>0</v>
      </c>
      <c r="AM426" s="3">
        <v>0.192824</v>
      </c>
      <c r="AN426" s="3">
        <v>1.5536000000000001</v>
      </c>
      <c r="AO426" s="3">
        <v>23.3994</v>
      </c>
      <c r="AP426" s="3">
        <v>3.4617000000000002E-2</v>
      </c>
      <c r="AQ426" s="3">
        <v>0.370342</v>
      </c>
      <c r="AR426" s="3">
        <v>10.010400000000001</v>
      </c>
      <c r="AS426" s="3">
        <v>8.51441E-2</v>
      </c>
      <c r="AT426" s="3">
        <v>0.267627</v>
      </c>
      <c r="AU426" s="3">
        <v>9.7601700000000005</v>
      </c>
      <c r="AV426" s="3">
        <v>0.127139</v>
      </c>
      <c r="AW426" s="3">
        <v>1.05077</v>
      </c>
      <c r="AX426" s="3">
        <v>12.012499999999999</v>
      </c>
      <c r="AY426" s="3">
        <v>0.35506199999999999</v>
      </c>
      <c r="AZ426" s="21">
        <v>2.9382999999999999</v>
      </c>
      <c r="BA426" s="3">
        <v>19.212</v>
      </c>
      <c r="BB426" s="3">
        <v>10</v>
      </c>
    </row>
    <row r="427" spans="1:54" s="3" customFormat="1" ht="63" customHeight="1" x14ac:dyDescent="0.25">
      <c r="A427" s="2">
        <v>425</v>
      </c>
      <c r="B427" s="3">
        <v>11</v>
      </c>
      <c r="C427" s="2">
        <v>2</v>
      </c>
      <c r="D427" s="9">
        <v>66</v>
      </c>
      <c r="E427" s="3" t="s">
        <v>16</v>
      </c>
      <c r="F427" s="3">
        <f t="shared" si="56"/>
        <v>1</v>
      </c>
      <c r="G427" s="11"/>
      <c r="H427" s="3" t="s">
        <v>26</v>
      </c>
      <c r="I427" s="3">
        <f t="shared" si="51"/>
        <v>2</v>
      </c>
      <c r="J427" s="3" t="s">
        <v>37</v>
      </c>
      <c r="K427" s="3">
        <v>11</v>
      </c>
      <c r="L427" s="6" t="s">
        <v>144</v>
      </c>
      <c r="M427" s="3">
        <v>69</v>
      </c>
      <c r="N427" s="3">
        <f t="shared" si="52"/>
        <v>0.69</v>
      </c>
      <c r="O427" s="3">
        <v>62</v>
      </c>
      <c r="P427" s="3">
        <v>0.62</v>
      </c>
      <c r="Q427" s="17">
        <v>0.1111111111111111</v>
      </c>
      <c r="R427" s="21">
        <v>0.16442942874387489</v>
      </c>
      <c r="S427" s="3">
        <v>14</v>
      </c>
      <c r="T427" s="3">
        <v>282.56</v>
      </c>
      <c r="U427" s="3">
        <v>304.14999999999998</v>
      </c>
      <c r="V427" s="26">
        <v>0.428481477696462</v>
      </c>
      <c r="W427" s="18">
        <v>-1.0995050068289101</v>
      </c>
      <c r="X427" s="18">
        <v>-3.55968374281748E-2</v>
      </c>
      <c r="Y427" s="18">
        <v>0.366787877905486</v>
      </c>
      <c r="Z427" s="18">
        <v>0.221769530370023</v>
      </c>
      <c r="AA427" s="18">
        <v>0.54565805448093396</v>
      </c>
      <c r="AB427" s="18">
        <v>2.4453180774449999E-2</v>
      </c>
      <c r="AC427" s="18">
        <v>0.18461034111093899</v>
      </c>
      <c r="AD427" s="18">
        <v>-0.64010904341670405</v>
      </c>
      <c r="AE427" s="21">
        <v>-1.0822028059639801</v>
      </c>
      <c r="AF427" s="3">
        <v>10.3985</v>
      </c>
      <c r="AG427" s="3">
        <v>0.43344100000000002</v>
      </c>
      <c r="AH427" s="3">
        <v>1.9522699999999999</v>
      </c>
      <c r="AI427" s="3">
        <v>0</v>
      </c>
      <c r="AJ427" s="3">
        <v>0</v>
      </c>
      <c r="AK427" s="3">
        <v>-0.68869800000000003</v>
      </c>
      <c r="AL427" s="3">
        <v>1.0009300000000001</v>
      </c>
      <c r="AM427" s="3">
        <v>7.9435500000000006E-2</v>
      </c>
      <c r="AN427" s="3">
        <v>3.2694100000000001</v>
      </c>
      <c r="AO427" s="3">
        <v>21.909199999999998</v>
      </c>
      <c r="AP427" s="3">
        <v>0.38708799999999999</v>
      </c>
      <c r="AQ427" s="3">
        <v>1.6289400000000001</v>
      </c>
      <c r="AR427" s="3">
        <v>18.906400000000001</v>
      </c>
      <c r="AS427" s="3">
        <v>0.32146200000000003</v>
      </c>
      <c r="AT427" s="3">
        <v>1.21404</v>
      </c>
      <c r="AU427" s="3">
        <v>7.0064900000000003</v>
      </c>
      <c r="AV427" s="3">
        <v>3.7103499999999998E-2</v>
      </c>
      <c r="AW427" s="3">
        <v>0.79858600000000002</v>
      </c>
      <c r="AX427" s="3">
        <v>1.1121399999999999</v>
      </c>
      <c r="AY427" s="3">
        <v>0.42153400000000002</v>
      </c>
      <c r="AZ427" s="21">
        <v>2.88564</v>
      </c>
      <c r="BA427" s="3">
        <v>21.594000000000001</v>
      </c>
      <c r="BB427" s="3">
        <v>11</v>
      </c>
    </row>
    <row r="428" spans="1:54" s="3" customFormat="1" ht="47.25" customHeight="1" x14ac:dyDescent="0.25">
      <c r="A428" s="2">
        <v>426</v>
      </c>
      <c r="B428" s="3">
        <v>11</v>
      </c>
      <c r="C428" s="2">
        <v>2</v>
      </c>
      <c r="D428" s="9">
        <v>66</v>
      </c>
      <c r="E428" s="3" t="s">
        <v>16</v>
      </c>
      <c r="F428" s="3">
        <f t="shared" si="56"/>
        <v>1</v>
      </c>
      <c r="G428" s="11"/>
      <c r="H428" s="3" t="s">
        <v>26</v>
      </c>
      <c r="I428" s="3">
        <f t="shared" si="51"/>
        <v>2</v>
      </c>
      <c r="J428" s="3" t="s">
        <v>102</v>
      </c>
      <c r="K428" s="3">
        <v>12</v>
      </c>
      <c r="L428" s="6" t="s">
        <v>157</v>
      </c>
      <c r="M428" s="3">
        <v>69</v>
      </c>
      <c r="N428" s="3">
        <f t="shared" si="52"/>
        <v>0.69</v>
      </c>
      <c r="O428" s="3">
        <v>62</v>
      </c>
      <c r="P428" s="3">
        <v>0.62</v>
      </c>
      <c r="Q428" s="17">
        <v>-7.5000000000000025E-2</v>
      </c>
      <c r="R428" s="21">
        <v>0.17677669529663689</v>
      </c>
      <c r="S428" s="3">
        <v>15</v>
      </c>
      <c r="T428" s="3">
        <v>304.14999999999998</v>
      </c>
      <c r="U428" s="3">
        <v>317.88</v>
      </c>
      <c r="V428" s="26">
        <v>-0.57151816023026902</v>
      </c>
      <c r="W428" s="18">
        <v>0.35775405173803798</v>
      </c>
      <c r="X428" s="18">
        <v>-0.28785642588425298</v>
      </c>
      <c r="Y428" s="18">
        <v>7.3380203909354499E-2</v>
      </c>
      <c r="Z428" s="18">
        <v>-0.177905850140093</v>
      </c>
      <c r="AA428" s="18">
        <v>0.36668990976895</v>
      </c>
      <c r="AB428" s="18">
        <v>-0.66886676221757502</v>
      </c>
      <c r="AC428" s="18">
        <v>1.4641569112422299</v>
      </c>
      <c r="AD428" s="18">
        <v>0.85977939915275603</v>
      </c>
      <c r="AE428" s="21">
        <v>-0.48549211644699503</v>
      </c>
      <c r="AF428" s="3">
        <v>11.895</v>
      </c>
      <c r="AG428" s="3">
        <v>0.75520900000000002</v>
      </c>
      <c r="AH428" s="3">
        <v>2.8801100000000002</v>
      </c>
      <c r="AI428" s="3">
        <v>0</v>
      </c>
      <c r="AJ428" s="3">
        <v>0.56044499999999997</v>
      </c>
      <c r="AK428" s="3">
        <v>0.48525600000000002</v>
      </c>
      <c r="AL428" s="3">
        <v>0</v>
      </c>
      <c r="AM428" s="3">
        <v>0</v>
      </c>
      <c r="AN428" s="3">
        <v>-0.467976</v>
      </c>
      <c r="AO428" s="3">
        <v>20.2041</v>
      </c>
      <c r="AP428" s="3">
        <v>0.128303</v>
      </c>
      <c r="AQ428" s="3">
        <v>0.93778399999999995</v>
      </c>
      <c r="AR428" s="3">
        <v>31.8367</v>
      </c>
      <c r="AS428" s="3">
        <v>0.245777</v>
      </c>
      <c r="AT428" s="3">
        <v>0.97262899999999997</v>
      </c>
      <c r="AU428" s="3">
        <v>7.1720100000000002</v>
      </c>
      <c r="AV428" s="3">
        <v>0.10688499999999999</v>
      </c>
      <c r="AW428" s="3">
        <v>0.79713400000000001</v>
      </c>
      <c r="AX428" s="3">
        <v>0</v>
      </c>
      <c r="AY428" s="3">
        <v>7.9332100000000003E-2</v>
      </c>
      <c r="AZ428" s="21">
        <v>-0.47602899999999998</v>
      </c>
      <c r="BA428" s="3">
        <v>13.727</v>
      </c>
      <c r="BB428" s="3">
        <v>12</v>
      </c>
    </row>
    <row r="429" spans="1:54" s="3" customFormat="1" ht="94.5" customHeight="1" x14ac:dyDescent="0.25">
      <c r="A429" s="2">
        <v>427</v>
      </c>
      <c r="B429" s="3">
        <v>11</v>
      </c>
      <c r="C429" s="2">
        <v>2</v>
      </c>
      <c r="D429" s="9">
        <v>66</v>
      </c>
      <c r="E429" s="3" t="s">
        <v>16</v>
      </c>
      <c r="F429" s="3">
        <f t="shared" si="56"/>
        <v>1</v>
      </c>
      <c r="G429" s="11"/>
      <c r="H429" s="3" t="s">
        <v>26</v>
      </c>
      <c r="I429" s="3">
        <f t="shared" si="51"/>
        <v>2</v>
      </c>
      <c r="J429" s="3" t="s">
        <v>103</v>
      </c>
      <c r="K429" s="3">
        <v>13</v>
      </c>
      <c r="L429" s="6" t="s">
        <v>168</v>
      </c>
      <c r="M429" s="3">
        <v>69</v>
      </c>
      <c r="N429" s="3">
        <f t="shared" si="52"/>
        <v>0.69</v>
      </c>
      <c r="O429" s="3">
        <v>62</v>
      </c>
      <c r="P429" s="3">
        <v>0.62</v>
      </c>
      <c r="Q429" s="17">
        <v>0.13464285714285709</v>
      </c>
      <c r="R429" s="21">
        <v>0.39214269450946398</v>
      </c>
      <c r="S429" s="3">
        <v>16</v>
      </c>
      <c r="T429" s="3">
        <v>317.88</v>
      </c>
      <c r="U429" s="3">
        <v>358.88</v>
      </c>
      <c r="V429" s="26">
        <v>-0.35016631932577202</v>
      </c>
      <c r="W429" s="18">
        <v>-0.50835943060851996</v>
      </c>
      <c r="X429" s="18">
        <v>0.66342105435269105</v>
      </c>
      <c r="Y429" s="18">
        <v>1.7686907674059098E-2</v>
      </c>
      <c r="Z429" s="18">
        <v>0.48392340446232701</v>
      </c>
      <c r="AA429" s="18">
        <v>0.62888177869186401</v>
      </c>
      <c r="AB429" s="18">
        <v>0.60599175592031795</v>
      </c>
      <c r="AC429" s="18">
        <v>-0.55833091831098902</v>
      </c>
      <c r="AD429" s="18">
        <v>0.494448326665406</v>
      </c>
      <c r="AE429" s="21">
        <v>-0.20455488032788499</v>
      </c>
      <c r="AF429" s="3">
        <v>1.28843</v>
      </c>
      <c r="AG429" s="3">
        <v>0.57843</v>
      </c>
      <c r="AH429" s="3">
        <v>2.2159599999999999</v>
      </c>
      <c r="AI429" s="3">
        <v>12.357200000000001</v>
      </c>
      <c r="AJ429" s="3">
        <v>8.8087100000000002E-2</v>
      </c>
      <c r="AK429" s="3">
        <v>2.7349399999999999</v>
      </c>
      <c r="AL429" s="3">
        <v>3.1625200000000002</v>
      </c>
      <c r="AM429" s="3">
        <v>0.25229099999999999</v>
      </c>
      <c r="AN429" s="3">
        <v>3.86185</v>
      </c>
      <c r="AO429" s="3">
        <v>19.1508</v>
      </c>
      <c r="AP429" s="3">
        <v>0.228825</v>
      </c>
      <c r="AQ429" s="3">
        <v>1.0496300000000001</v>
      </c>
      <c r="AR429" s="3">
        <v>13.938499999999999</v>
      </c>
      <c r="AS429" s="3">
        <v>0.23174800000000001</v>
      </c>
      <c r="AT429" s="3">
        <v>0.79465300000000005</v>
      </c>
      <c r="AU429" s="3">
        <v>12.7379</v>
      </c>
      <c r="AV429" s="3">
        <v>0.31135499999999999</v>
      </c>
      <c r="AW429" s="3">
        <v>1.74207</v>
      </c>
      <c r="AX429" s="3">
        <v>12.269399999999999</v>
      </c>
      <c r="AY429" s="3">
        <v>0.33752599999999999</v>
      </c>
      <c r="AZ429" s="21">
        <v>3.36937</v>
      </c>
      <c r="BA429" s="3">
        <v>41</v>
      </c>
      <c r="BB429" s="3">
        <v>13</v>
      </c>
    </row>
    <row r="430" spans="1:54" s="3" customFormat="1" ht="47.25" customHeight="1" x14ac:dyDescent="0.25">
      <c r="A430" s="2">
        <v>428</v>
      </c>
      <c r="B430" s="3">
        <v>11</v>
      </c>
      <c r="C430" s="2">
        <v>2</v>
      </c>
      <c r="D430" s="9">
        <v>66</v>
      </c>
      <c r="E430" s="3" t="s">
        <v>16</v>
      </c>
      <c r="F430" s="3">
        <f t="shared" si="56"/>
        <v>1</v>
      </c>
      <c r="G430" s="11" t="s">
        <v>38</v>
      </c>
      <c r="H430" s="3" t="s">
        <v>38</v>
      </c>
      <c r="I430" s="3">
        <f t="shared" si="51"/>
        <v>3</v>
      </c>
      <c r="J430" s="3" t="s">
        <v>39</v>
      </c>
      <c r="K430" s="3">
        <v>1</v>
      </c>
      <c r="L430" s="6" t="s">
        <v>155</v>
      </c>
      <c r="M430" s="3">
        <v>55</v>
      </c>
      <c r="N430" s="3">
        <f t="shared" si="52"/>
        <v>0.55000000000000004</v>
      </c>
      <c r="O430" s="3">
        <v>56</v>
      </c>
      <c r="P430" s="3">
        <v>0.56000000000000005</v>
      </c>
      <c r="Q430" s="17">
        <v>0.57250000000000001</v>
      </c>
      <c r="R430" s="21">
        <v>0.36953236213715662</v>
      </c>
      <c r="S430" s="3">
        <v>2</v>
      </c>
      <c r="T430" s="3">
        <v>23.82</v>
      </c>
      <c r="U430" s="3">
        <v>42.62</v>
      </c>
      <c r="V430" s="26">
        <v>-1.58026072878465</v>
      </c>
      <c r="W430" s="18">
        <v>-0.94918895081112897</v>
      </c>
      <c r="X430" s="18">
        <v>-1.0159402900816299</v>
      </c>
      <c r="Y430" s="18">
        <v>7.8422856485990899E-2</v>
      </c>
      <c r="Z430" s="18">
        <v>1.0597877076202</v>
      </c>
      <c r="AA430" s="18">
        <v>0.77004025014354904</v>
      </c>
      <c r="AB430" s="18">
        <v>-0.89612319754748204</v>
      </c>
      <c r="AC430" s="18">
        <v>0.71165695771061299</v>
      </c>
      <c r="AD430" s="18">
        <v>0.75848422493740397</v>
      </c>
      <c r="AE430" s="21">
        <v>-0.92712545162623605</v>
      </c>
      <c r="AF430" s="3">
        <v>17.7636</v>
      </c>
      <c r="AG430" s="3">
        <v>0.43671500000000002</v>
      </c>
      <c r="AH430" s="3">
        <v>2.3895400000000002</v>
      </c>
      <c r="AI430" s="3">
        <v>0</v>
      </c>
      <c r="AJ430" s="3">
        <v>1.28551E-2</v>
      </c>
      <c r="AK430" s="3">
        <v>-0.92728100000000002</v>
      </c>
      <c r="AL430" s="3">
        <v>1.1501600000000001</v>
      </c>
      <c r="AM430" s="3">
        <v>0.124198</v>
      </c>
      <c r="AN430" s="3">
        <v>2.9560399999999998</v>
      </c>
      <c r="AO430" s="3">
        <v>27.6677</v>
      </c>
      <c r="AP430" s="3">
        <v>0.28728700000000001</v>
      </c>
      <c r="AQ430" s="3">
        <v>1.1577599999999999</v>
      </c>
      <c r="AR430" s="3">
        <v>40.958500000000001</v>
      </c>
      <c r="AS430" s="3">
        <v>0.31056099999999998</v>
      </c>
      <c r="AT430" s="3">
        <v>1.65628</v>
      </c>
      <c r="AU430" s="3">
        <v>13.738</v>
      </c>
      <c r="AV430" s="3">
        <v>0.172624</v>
      </c>
      <c r="AW430" s="3">
        <v>0.78792799999999996</v>
      </c>
      <c r="AX430" s="3">
        <v>0.95846600000000004</v>
      </c>
      <c r="AY430" s="3">
        <v>0.311172</v>
      </c>
      <c r="AZ430" s="21">
        <v>3.1397200000000001</v>
      </c>
      <c r="BA430" s="3">
        <v>18.798999999999999</v>
      </c>
      <c r="BB430" s="3">
        <v>1</v>
      </c>
    </row>
    <row r="431" spans="1:54" s="3" customFormat="1" ht="31.5" customHeight="1" x14ac:dyDescent="0.25">
      <c r="A431" s="2">
        <v>429</v>
      </c>
      <c r="B431" s="3">
        <v>11</v>
      </c>
      <c r="C431" s="2">
        <v>2</v>
      </c>
      <c r="D431" s="9">
        <v>66</v>
      </c>
      <c r="E431" s="3" t="s">
        <v>16</v>
      </c>
      <c r="F431" s="3">
        <f>IF(E432="Happy", 1,2)</f>
        <v>1</v>
      </c>
      <c r="G431" s="11"/>
      <c r="H431" s="3" t="s">
        <v>38</v>
      </c>
      <c r="I431" s="3">
        <f t="shared" si="51"/>
        <v>3</v>
      </c>
      <c r="J431" s="3" t="s">
        <v>40</v>
      </c>
      <c r="K431" s="3">
        <v>2</v>
      </c>
      <c r="L431" s="6" t="s">
        <v>166</v>
      </c>
      <c r="M431" s="3">
        <v>55</v>
      </c>
      <c r="N431" s="3">
        <f t="shared" si="52"/>
        <v>0.55000000000000004</v>
      </c>
      <c r="O431" s="3">
        <v>56</v>
      </c>
      <c r="P431" s="3">
        <v>0.56000000000000005</v>
      </c>
      <c r="Q431" s="17">
        <v>-0.23624999999999999</v>
      </c>
      <c r="R431" s="21">
        <v>0</v>
      </c>
      <c r="S431" s="3">
        <v>3</v>
      </c>
      <c r="T431" s="3">
        <v>42.62</v>
      </c>
      <c r="U431" s="3">
        <v>54.36</v>
      </c>
      <c r="V431" s="26">
        <v>0.90341822886055301</v>
      </c>
      <c r="W431" s="18">
        <v>1.14301860208303</v>
      </c>
      <c r="X431" s="18">
        <v>0.63904894191973904</v>
      </c>
      <c r="Y431" s="18">
        <v>1.0978604425716001</v>
      </c>
      <c r="Z431" s="18">
        <v>-0.97692037275832699</v>
      </c>
      <c r="AA431" s="18">
        <v>-1.14088680963888</v>
      </c>
      <c r="AB431" s="18">
        <v>0.40700151357979197</v>
      </c>
      <c r="AC431" s="18">
        <v>1.6177552372806601</v>
      </c>
      <c r="AD431" s="18">
        <v>-8.6853178509523708E-3</v>
      </c>
      <c r="AE431" s="21">
        <v>-1.1664839767997199</v>
      </c>
      <c r="AF431" s="3">
        <v>9.0102399999999996</v>
      </c>
      <c r="AG431" s="3">
        <v>0.47821599999999997</v>
      </c>
      <c r="AH431" s="3">
        <v>2.3349899999999999</v>
      </c>
      <c r="AI431" s="3">
        <v>4.6075100000000004</v>
      </c>
      <c r="AJ431" s="3">
        <v>3.5989399999999998E-2</v>
      </c>
      <c r="AK431" s="3">
        <v>1.9288799999999999</v>
      </c>
      <c r="AL431" s="3">
        <v>0</v>
      </c>
      <c r="AM431" s="3">
        <v>5.1316000000000001E-2</v>
      </c>
      <c r="AN431" s="3">
        <v>1.5710900000000001</v>
      </c>
      <c r="AO431" s="3">
        <v>24.266200000000001</v>
      </c>
      <c r="AP431" s="3">
        <v>5.9145700000000002E-2</v>
      </c>
      <c r="AQ431" s="3">
        <v>0.149809</v>
      </c>
      <c r="AR431" s="3">
        <v>17.508500000000002</v>
      </c>
      <c r="AS431" s="3">
        <v>5.6804800000000003E-2</v>
      </c>
      <c r="AT431" s="3">
        <v>0.43656600000000001</v>
      </c>
      <c r="AU431" s="3">
        <v>3.7884000000000002</v>
      </c>
      <c r="AV431" s="3">
        <v>0.39083299999999999</v>
      </c>
      <c r="AW431" s="3">
        <v>1.6650799999999999</v>
      </c>
      <c r="AX431" s="3">
        <v>1.02389</v>
      </c>
      <c r="AY431" s="3">
        <v>0.12564900000000001</v>
      </c>
      <c r="AZ431" s="21">
        <v>2.9447700000000001</v>
      </c>
      <c r="BA431" s="3">
        <v>11.744999999999999</v>
      </c>
      <c r="BB431" s="3">
        <v>2</v>
      </c>
    </row>
    <row r="432" spans="1:54" s="3" customFormat="1" ht="63" customHeight="1" x14ac:dyDescent="0.25">
      <c r="A432" s="2">
        <v>430</v>
      </c>
      <c r="B432" s="3">
        <v>11</v>
      </c>
      <c r="C432" s="2">
        <v>2</v>
      </c>
      <c r="D432" s="9">
        <v>66</v>
      </c>
      <c r="E432" s="3" t="s">
        <v>16</v>
      </c>
      <c r="F432" s="3">
        <f>IF(E433="Happy", 1,2)</f>
        <v>1</v>
      </c>
      <c r="G432" s="11"/>
      <c r="H432" s="3" t="s">
        <v>38</v>
      </c>
      <c r="I432" s="3">
        <f t="shared" si="51"/>
        <v>3</v>
      </c>
      <c r="J432" s="3" t="s">
        <v>41</v>
      </c>
      <c r="K432" s="3">
        <v>3</v>
      </c>
      <c r="L432" s="6" t="s">
        <v>153</v>
      </c>
      <c r="M432" s="3">
        <v>55</v>
      </c>
      <c r="N432" s="3">
        <f t="shared" si="52"/>
        <v>0.55000000000000004</v>
      </c>
      <c r="O432" s="3">
        <v>56</v>
      </c>
      <c r="P432" s="3">
        <v>0.56000000000000005</v>
      </c>
      <c r="Q432" s="17">
        <v>0.13625000000000001</v>
      </c>
      <c r="R432" s="21">
        <v>0.68154924620308988</v>
      </c>
      <c r="S432" s="3">
        <v>4</v>
      </c>
      <c r="T432" s="3">
        <v>54.36</v>
      </c>
      <c r="U432" s="3">
        <v>80.48</v>
      </c>
      <c r="V432" s="26">
        <v>-0.36558421799426299</v>
      </c>
      <c r="W432" s="18">
        <v>-0.31400653794047001</v>
      </c>
      <c r="X432" s="18">
        <v>-1.2511306012380901</v>
      </c>
      <c r="Y432" s="18">
        <v>-0.23795690147037399</v>
      </c>
      <c r="Z432" s="18">
        <v>0.30414793885990898</v>
      </c>
      <c r="AA432" s="18">
        <v>0.17643899071642699</v>
      </c>
      <c r="AB432" s="18">
        <v>0.67892667249313898</v>
      </c>
      <c r="AC432" s="18">
        <v>-0.91332104093628497</v>
      </c>
      <c r="AD432" s="18">
        <v>-1.3260367713521399</v>
      </c>
      <c r="AE432" s="21">
        <v>-1.26200263708021</v>
      </c>
      <c r="AF432" s="3">
        <v>19.310300000000002</v>
      </c>
      <c r="AG432" s="3">
        <v>0.13963200000000001</v>
      </c>
      <c r="AH432" s="3">
        <v>1.58762</v>
      </c>
      <c r="AI432" s="3">
        <v>8.3218399999999999</v>
      </c>
      <c r="AJ432" s="3">
        <v>0.239285</v>
      </c>
      <c r="AK432" s="3">
        <v>2.50989</v>
      </c>
      <c r="AL432" s="3">
        <v>0</v>
      </c>
      <c r="AM432" s="3">
        <v>0.15162200000000001</v>
      </c>
      <c r="AN432" s="3">
        <v>0.260301</v>
      </c>
      <c r="AO432" s="3">
        <v>20.045999999999999</v>
      </c>
      <c r="AP432" s="3">
        <v>0.387299</v>
      </c>
      <c r="AQ432" s="3">
        <v>1.2476</v>
      </c>
      <c r="AR432" s="3">
        <v>19.862100000000002</v>
      </c>
      <c r="AS432" s="3">
        <v>0.54916200000000004</v>
      </c>
      <c r="AT432" s="3">
        <v>1.55579</v>
      </c>
      <c r="AU432" s="3">
        <v>9.1494300000000006</v>
      </c>
      <c r="AV432" s="3">
        <v>0.164801</v>
      </c>
      <c r="AW432" s="3">
        <v>0.695994</v>
      </c>
      <c r="AX432" s="3">
        <v>1.4252899999999999</v>
      </c>
      <c r="AY432" s="3">
        <v>0.23796400000000001</v>
      </c>
      <c r="AZ432" s="21">
        <v>3.0609899999999999</v>
      </c>
      <c r="BA432" s="3">
        <v>26.117999999999999</v>
      </c>
      <c r="BB432" s="3">
        <v>3</v>
      </c>
    </row>
    <row r="433" spans="1:54" s="3" customFormat="1" ht="47.25" customHeight="1" x14ac:dyDescent="0.25">
      <c r="A433" s="2">
        <v>431</v>
      </c>
      <c r="B433" s="3">
        <v>11</v>
      </c>
      <c r="C433" s="2">
        <v>2</v>
      </c>
      <c r="D433" s="9">
        <v>66</v>
      </c>
      <c r="E433" s="3" t="s">
        <v>16</v>
      </c>
      <c r="F433" s="3">
        <f t="shared" ref="F433:F440" si="57">IF(E433="Happy", 1,2)</f>
        <v>1</v>
      </c>
      <c r="G433" s="11"/>
      <c r="H433" s="3" t="s">
        <v>38</v>
      </c>
      <c r="I433" s="3">
        <f t="shared" si="51"/>
        <v>3</v>
      </c>
      <c r="J433" s="3" t="s">
        <v>42</v>
      </c>
      <c r="K433" s="3">
        <v>4</v>
      </c>
      <c r="L433" s="6" t="s">
        <v>146</v>
      </c>
      <c r="M433" s="3">
        <v>55</v>
      </c>
      <c r="N433" s="3">
        <f t="shared" si="52"/>
        <v>0.55000000000000004</v>
      </c>
      <c r="O433" s="3">
        <v>56</v>
      </c>
      <c r="P433" s="3">
        <v>0.56000000000000005</v>
      </c>
      <c r="Q433" s="17">
        <v>8.5777777777777786E-2</v>
      </c>
      <c r="R433" s="21">
        <v>0.1485714692714637</v>
      </c>
      <c r="S433" s="3">
        <v>5</v>
      </c>
      <c r="T433" s="3">
        <v>80.48</v>
      </c>
      <c r="U433" s="3">
        <v>96.16</v>
      </c>
      <c r="V433" s="26">
        <v>0.72491074023732205</v>
      </c>
      <c r="W433" s="18">
        <v>1.40007270651194E-2</v>
      </c>
      <c r="X433" s="18">
        <v>0.42608082525754598</v>
      </c>
      <c r="Y433" s="18">
        <v>0.63393640552105901</v>
      </c>
      <c r="Z433" s="18">
        <v>-0.44521537972972502</v>
      </c>
      <c r="AA433" s="18">
        <v>-0.17410513620856899</v>
      </c>
      <c r="AB433" s="18">
        <v>-0.42545821660802202</v>
      </c>
      <c r="AC433" s="18">
        <v>-0.43571594559361598</v>
      </c>
      <c r="AD433" s="18">
        <v>-0.18710879730642099</v>
      </c>
      <c r="AE433" s="21">
        <v>-0.69001442434170701</v>
      </c>
      <c r="AF433" s="3">
        <v>15.6122</v>
      </c>
      <c r="AG433" s="3">
        <v>0.242198</v>
      </c>
      <c r="AH433" s="3">
        <v>1.7539</v>
      </c>
      <c r="AI433" s="3">
        <v>3.3673500000000001</v>
      </c>
      <c r="AJ433" s="3">
        <v>3.7416600000000001E-2</v>
      </c>
      <c r="AK433" s="3">
        <v>1.79142</v>
      </c>
      <c r="AL433" s="3">
        <v>1.2244900000000001</v>
      </c>
      <c r="AM433" s="3">
        <v>2.33809E-2</v>
      </c>
      <c r="AN433" s="3">
        <v>2.6755</v>
      </c>
      <c r="AO433" s="3">
        <v>21.199000000000002</v>
      </c>
      <c r="AP433" s="3">
        <v>0.20380300000000001</v>
      </c>
      <c r="AQ433" s="3">
        <v>0.66762999999999995</v>
      </c>
      <c r="AR433" s="3">
        <v>14.8469</v>
      </c>
      <c r="AS433" s="3">
        <v>0.13128799999999999</v>
      </c>
      <c r="AT433" s="3">
        <v>0.66741300000000003</v>
      </c>
      <c r="AU433" s="3">
        <v>4.2091799999999999</v>
      </c>
      <c r="AV433" s="3">
        <v>0.115701</v>
      </c>
      <c r="AW433" s="3">
        <v>0.63340099999999999</v>
      </c>
      <c r="AX433" s="3">
        <v>0.91836700000000004</v>
      </c>
      <c r="AY433" s="3">
        <v>1.0363599999999999</v>
      </c>
      <c r="AZ433" s="21">
        <v>6.0550899999999999</v>
      </c>
      <c r="BA433" s="3">
        <v>15.683999999999999</v>
      </c>
      <c r="BB433" s="3">
        <v>4</v>
      </c>
    </row>
    <row r="434" spans="1:54" s="3" customFormat="1" ht="31.5" customHeight="1" x14ac:dyDescent="0.25">
      <c r="A434" s="2">
        <v>432</v>
      </c>
      <c r="B434" s="3">
        <v>11</v>
      </c>
      <c r="C434" s="2">
        <v>2</v>
      </c>
      <c r="D434" s="9">
        <v>66</v>
      </c>
      <c r="E434" s="3" t="s">
        <v>16</v>
      </c>
      <c r="F434" s="3">
        <f t="shared" si="57"/>
        <v>1</v>
      </c>
      <c r="G434" s="11"/>
      <c r="H434" s="3" t="s">
        <v>38</v>
      </c>
      <c r="I434" s="3">
        <f t="shared" si="51"/>
        <v>3</v>
      </c>
      <c r="J434" s="3" t="s">
        <v>43</v>
      </c>
      <c r="K434" s="3">
        <v>5</v>
      </c>
      <c r="L434" s="6" t="s">
        <v>146</v>
      </c>
      <c r="M434" s="3">
        <v>55</v>
      </c>
      <c r="N434" s="3">
        <f t="shared" si="52"/>
        <v>0.55000000000000004</v>
      </c>
      <c r="O434" s="3">
        <v>56</v>
      </c>
      <c r="P434" s="3">
        <v>0.56000000000000005</v>
      </c>
      <c r="Q434" s="17">
        <v>-0.1083333333333333</v>
      </c>
      <c r="R434" s="21">
        <v>0.1010362971081845</v>
      </c>
      <c r="S434" s="3">
        <v>6</v>
      </c>
      <c r="T434" s="3">
        <v>96.16</v>
      </c>
      <c r="U434" s="3">
        <v>112.11</v>
      </c>
      <c r="V434" s="26">
        <v>-0.78012688032952704</v>
      </c>
      <c r="W434" s="18">
        <v>-1.4961372890943201</v>
      </c>
      <c r="X434" s="18">
        <v>-0.75576961568749301</v>
      </c>
      <c r="Y434" s="18">
        <v>0.47709123389664798</v>
      </c>
      <c r="Z434" s="18">
        <v>-1.03116683494758</v>
      </c>
      <c r="AA434" s="18">
        <v>-1.1731435187253101</v>
      </c>
      <c r="AB434" s="18">
        <v>1.5337364157423301</v>
      </c>
      <c r="AC434" s="18">
        <v>-0.37309001866807701</v>
      </c>
      <c r="AD434" s="18">
        <v>-1.1470991031950699</v>
      </c>
      <c r="AE434" s="21">
        <v>-9.0225639889849607E-3</v>
      </c>
      <c r="AF434" s="3">
        <v>20.125599999999999</v>
      </c>
      <c r="AG434" s="3">
        <v>0.3105</v>
      </c>
      <c r="AH434" s="3">
        <v>2.2116199999999999</v>
      </c>
      <c r="AI434" s="3">
        <v>0</v>
      </c>
      <c r="AJ434" s="3">
        <v>0.21060999999999999</v>
      </c>
      <c r="AK434" s="3">
        <v>0.70687500000000003</v>
      </c>
      <c r="AL434" s="3">
        <v>0</v>
      </c>
      <c r="AM434" s="3">
        <v>0.16906299999999999</v>
      </c>
      <c r="AN434" s="3">
        <v>1.52318</v>
      </c>
      <c r="AO434" s="3">
        <v>20.351800000000001</v>
      </c>
      <c r="AP434" s="3">
        <v>0.52314700000000003</v>
      </c>
      <c r="AQ434" s="3">
        <v>2.00603</v>
      </c>
      <c r="AR434" s="3">
        <v>26.834199999999999</v>
      </c>
      <c r="AS434" s="3">
        <v>0.50832900000000003</v>
      </c>
      <c r="AT434" s="3">
        <v>2.7063799999999998</v>
      </c>
      <c r="AU434" s="3">
        <v>13.869300000000001</v>
      </c>
      <c r="AV434" s="3">
        <v>0.230517</v>
      </c>
      <c r="AW434" s="3">
        <v>1.3281799999999999</v>
      </c>
      <c r="AX434" s="3">
        <v>1.3567800000000001</v>
      </c>
      <c r="AY434" s="3">
        <v>0.19772899999999999</v>
      </c>
      <c r="AZ434" s="21">
        <v>2.8900800000000002</v>
      </c>
      <c r="BA434" s="3">
        <v>15.952</v>
      </c>
      <c r="BB434" s="3">
        <v>5</v>
      </c>
    </row>
    <row r="435" spans="1:54" s="3" customFormat="1" ht="63" customHeight="1" x14ac:dyDescent="0.25">
      <c r="A435" s="2">
        <v>433</v>
      </c>
      <c r="B435" s="3">
        <v>11</v>
      </c>
      <c r="C435" s="2">
        <v>2</v>
      </c>
      <c r="D435" s="9">
        <v>66</v>
      </c>
      <c r="E435" s="3" t="s">
        <v>16</v>
      </c>
      <c r="F435" s="3">
        <f t="shared" si="57"/>
        <v>1</v>
      </c>
      <c r="G435" s="11"/>
      <c r="H435" s="3" t="s">
        <v>38</v>
      </c>
      <c r="I435" s="3">
        <f t="shared" si="51"/>
        <v>3</v>
      </c>
      <c r="J435" s="3" t="s">
        <v>44</v>
      </c>
      <c r="K435" s="3">
        <v>6</v>
      </c>
      <c r="L435" s="6" t="s">
        <v>153</v>
      </c>
      <c r="M435" s="3">
        <v>55</v>
      </c>
      <c r="N435" s="3">
        <f t="shared" si="52"/>
        <v>0.55000000000000004</v>
      </c>
      <c r="O435" s="3">
        <v>56</v>
      </c>
      <c r="P435" s="3">
        <v>0.56000000000000005</v>
      </c>
      <c r="Q435" s="17">
        <v>0.21233333333333329</v>
      </c>
      <c r="R435" s="21">
        <v>0.39598260343381531</v>
      </c>
      <c r="S435" s="3">
        <v>7</v>
      </c>
      <c r="T435" s="3">
        <v>112.11</v>
      </c>
      <c r="U435" s="3">
        <v>137.78</v>
      </c>
      <c r="V435" s="26">
        <v>-0.44411888982403103</v>
      </c>
      <c r="W435" s="18">
        <v>-0.74759126668323905</v>
      </c>
      <c r="X435" s="18">
        <v>2.05382085365289E-2</v>
      </c>
      <c r="Y435" s="18">
        <v>1.6858710859894399</v>
      </c>
      <c r="Z435" s="18">
        <v>1.7944686159891901</v>
      </c>
      <c r="AA435" s="18">
        <v>1.67697723961088</v>
      </c>
      <c r="AB435" s="18">
        <v>0.44487758613477701</v>
      </c>
      <c r="AC435" s="18">
        <v>-0.51581121002996499</v>
      </c>
      <c r="AD435" s="18">
        <v>-2.3060804366032102</v>
      </c>
      <c r="AE435" s="21">
        <v>-2.1227943285491699</v>
      </c>
      <c r="AF435" s="3">
        <v>7.20749</v>
      </c>
      <c r="AG435" s="3">
        <v>0.147343</v>
      </c>
      <c r="AH435" s="3">
        <v>1.5271600000000001</v>
      </c>
      <c r="AI435" s="3">
        <v>0.70202799999999999</v>
      </c>
      <c r="AJ435" s="3">
        <v>0.118004</v>
      </c>
      <c r="AK435" s="3">
        <v>2.0116900000000002</v>
      </c>
      <c r="AL435" s="3">
        <v>0</v>
      </c>
      <c r="AM435" s="3">
        <v>0</v>
      </c>
      <c r="AN435" s="3">
        <v>-0.46476800000000001</v>
      </c>
      <c r="AO435" s="3">
        <v>14.1342</v>
      </c>
      <c r="AP435" s="3">
        <v>0.24718899999999999</v>
      </c>
      <c r="AQ435" s="3">
        <v>0.827241</v>
      </c>
      <c r="AR435" s="3">
        <v>24.945399999999999</v>
      </c>
      <c r="AS435" s="3">
        <v>5.9635599999999997E-2</v>
      </c>
      <c r="AT435" s="3">
        <v>0.44107000000000002</v>
      </c>
      <c r="AU435" s="3">
        <v>5.8034299999999996</v>
      </c>
      <c r="AV435" s="3">
        <v>0.24210499999999999</v>
      </c>
      <c r="AW435" s="3">
        <v>1.3727799999999999</v>
      </c>
      <c r="AX435" s="3">
        <v>1.45086</v>
      </c>
      <c r="AY435" s="3">
        <v>0.49640899999999999</v>
      </c>
      <c r="AZ435" s="21">
        <v>4.2345100000000002</v>
      </c>
      <c r="BA435" s="3">
        <v>25.664999999999999</v>
      </c>
      <c r="BB435" s="3">
        <v>6</v>
      </c>
    </row>
    <row r="436" spans="1:54" s="3" customFormat="1" ht="47.25" customHeight="1" x14ac:dyDescent="0.25">
      <c r="A436" s="2">
        <v>434</v>
      </c>
      <c r="B436" s="3">
        <v>11</v>
      </c>
      <c r="C436" s="2">
        <v>2</v>
      </c>
      <c r="D436" s="9">
        <v>66</v>
      </c>
      <c r="E436" s="3" t="s">
        <v>16</v>
      </c>
      <c r="F436" s="3">
        <f t="shared" si="57"/>
        <v>1</v>
      </c>
      <c r="G436" s="11"/>
      <c r="H436" s="3" t="s">
        <v>38</v>
      </c>
      <c r="I436" s="3">
        <f t="shared" si="51"/>
        <v>3</v>
      </c>
      <c r="J436" s="3" t="s">
        <v>45</v>
      </c>
      <c r="K436" s="3">
        <v>7</v>
      </c>
      <c r="L436" s="6" t="s">
        <v>155</v>
      </c>
      <c r="M436" s="3">
        <v>55</v>
      </c>
      <c r="N436" s="3">
        <f t="shared" si="52"/>
        <v>0.55000000000000004</v>
      </c>
      <c r="O436" s="3">
        <v>56</v>
      </c>
      <c r="P436" s="3">
        <v>0.56000000000000005</v>
      </c>
      <c r="Q436" s="17">
        <v>-0.21249999999999999</v>
      </c>
      <c r="R436" s="21">
        <v>0.32755406678389237</v>
      </c>
      <c r="S436" s="3">
        <v>8</v>
      </c>
      <c r="T436" s="3">
        <v>137.78</v>
      </c>
      <c r="U436" s="3">
        <v>156.94</v>
      </c>
      <c r="V436" s="26">
        <v>-0.79962481329092405</v>
      </c>
      <c r="W436" s="18">
        <v>-1.30983787770773</v>
      </c>
      <c r="X436" s="18">
        <v>-1.1478503796928401</v>
      </c>
      <c r="Y436" s="18">
        <v>-6.7589950344166497E-2</v>
      </c>
      <c r="Z436" s="18">
        <v>0.49199312611031698</v>
      </c>
      <c r="AA436" s="18">
        <v>0.57660610322065398</v>
      </c>
      <c r="AB436" s="18">
        <v>0.39892545843997002</v>
      </c>
      <c r="AC436" s="18">
        <v>0.64606453950965204</v>
      </c>
      <c r="AD436" s="18">
        <v>-2.3060804366032102</v>
      </c>
      <c r="AE436" s="21">
        <v>-2.1227943285491699</v>
      </c>
      <c r="AF436" s="3">
        <v>5.5741100000000001</v>
      </c>
      <c r="AG436" s="3">
        <v>0.15379899999999999</v>
      </c>
      <c r="AH436" s="3">
        <v>1.58883</v>
      </c>
      <c r="AI436" s="3">
        <v>3.8204600000000002</v>
      </c>
      <c r="AJ436" s="3">
        <v>0.20632400000000001</v>
      </c>
      <c r="AK436" s="3">
        <v>2.6435200000000001</v>
      </c>
      <c r="AL436" s="3">
        <v>2.9436300000000002</v>
      </c>
      <c r="AM436" s="3">
        <v>0.11698500000000001</v>
      </c>
      <c r="AN436" s="3">
        <v>2.94102</v>
      </c>
      <c r="AO436" s="3">
        <v>17.787099999999999</v>
      </c>
      <c r="AP436" s="3">
        <v>0.222081</v>
      </c>
      <c r="AQ436" s="3">
        <v>0.59637799999999996</v>
      </c>
      <c r="AR436" s="3">
        <v>17.411300000000001</v>
      </c>
      <c r="AS436" s="3">
        <v>0.188059</v>
      </c>
      <c r="AT436" s="3">
        <v>0.81012300000000004</v>
      </c>
      <c r="AU436" s="3">
        <v>8.1419599999999992</v>
      </c>
      <c r="AV436" s="3">
        <v>0.14328099999999999</v>
      </c>
      <c r="AW436" s="3">
        <v>0.77306200000000003</v>
      </c>
      <c r="AX436" s="3">
        <v>0</v>
      </c>
      <c r="AY436" s="3">
        <v>0.18113099999999999</v>
      </c>
      <c r="AZ436" s="21">
        <v>0.89349599999999996</v>
      </c>
      <c r="BA436" s="3">
        <v>19.164999999999999</v>
      </c>
      <c r="BB436" s="3">
        <v>7</v>
      </c>
    </row>
    <row r="437" spans="1:54" s="3" customFormat="1" ht="47.25" customHeight="1" x14ac:dyDescent="0.25">
      <c r="A437" s="2">
        <v>435</v>
      </c>
      <c r="B437" s="3">
        <v>11</v>
      </c>
      <c r="C437" s="2">
        <v>2</v>
      </c>
      <c r="D437" s="9">
        <v>66</v>
      </c>
      <c r="E437" s="3" t="s">
        <v>16</v>
      </c>
      <c r="F437" s="3">
        <f t="shared" si="57"/>
        <v>1</v>
      </c>
      <c r="G437" s="11"/>
      <c r="H437" s="3" t="s">
        <v>38</v>
      </c>
      <c r="I437" s="3">
        <f t="shared" si="51"/>
        <v>3</v>
      </c>
      <c r="J437" s="3" t="s">
        <v>46</v>
      </c>
      <c r="K437" s="3">
        <v>8</v>
      </c>
      <c r="L437" s="6" t="s">
        <v>157</v>
      </c>
      <c r="M437" s="3">
        <v>55</v>
      </c>
      <c r="N437" s="3">
        <f t="shared" si="52"/>
        <v>0.55000000000000004</v>
      </c>
      <c r="O437" s="3">
        <v>56</v>
      </c>
      <c r="P437" s="3">
        <v>0.56000000000000005</v>
      </c>
      <c r="Q437" s="17">
        <v>-0.1033333333333334</v>
      </c>
      <c r="R437" s="21">
        <v>0.48310339358038967</v>
      </c>
      <c r="S437" s="3">
        <v>9</v>
      </c>
      <c r="T437" s="3">
        <v>156.94</v>
      </c>
      <c r="U437" s="3">
        <v>170.55</v>
      </c>
      <c r="V437" s="26">
        <v>-0.486971226516829</v>
      </c>
      <c r="W437" s="18">
        <v>-1.42715805232586</v>
      </c>
      <c r="X437" s="18">
        <v>0.18401613236477199</v>
      </c>
      <c r="Y437" s="18">
        <v>1.42940551123992</v>
      </c>
      <c r="Z437" s="18">
        <v>2.0802712576887901</v>
      </c>
      <c r="AA437" s="18">
        <v>1.85658202989694</v>
      </c>
      <c r="AB437" s="18">
        <v>-0.46574458468923402</v>
      </c>
      <c r="AC437" s="18">
        <v>0.83888647241197101</v>
      </c>
      <c r="AD437" s="18">
        <v>-0.86635207212104404</v>
      </c>
      <c r="AE437" s="21">
        <v>-1.2968388543589799</v>
      </c>
      <c r="AF437" s="3">
        <v>0.88365199999999999</v>
      </c>
      <c r="AG437" s="3">
        <v>0.49607899999999999</v>
      </c>
      <c r="AH437" s="3">
        <v>2.7485499999999998</v>
      </c>
      <c r="AI437" s="3">
        <v>0.53019099999999997</v>
      </c>
      <c r="AJ437" s="3">
        <v>0.19343399999999999</v>
      </c>
      <c r="AK437" s="3">
        <v>2.2696399999999999</v>
      </c>
      <c r="AL437" s="3">
        <v>1.59057</v>
      </c>
      <c r="AM437" s="3">
        <v>0.15801599999999999</v>
      </c>
      <c r="AN437" s="3">
        <v>3.5887899999999999</v>
      </c>
      <c r="AO437" s="3">
        <v>28.011800000000001</v>
      </c>
      <c r="AP437" s="3">
        <v>0.130075</v>
      </c>
      <c r="AQ437" s="3">
        <v>0.48842099999999999</v>
      </c>
      <c r="AR437" s="3">
        <v>30.2209</v>
      </c>
      <c r="AS437" s="3">
        <v>0.129081</v>
      </c>
      <c r="AT437" s="3">
        <v>0.80840800000000002</v>
      </c>
      <c r="AU437" s="3">
        <v>12.0177</v>
      </c>
      <c r="AV437" s="3">
        <v>0.320212</v>
      </c>
      <c r="AW437" s="3">
        <v>1.28006</v>
      </c>
      <c r="AX437" s="3">
        <v>1.1487499999999999</v>
      </c>
      <c r="AY437" s="3">
        <v>0.51505900000000004</v>
      </c>
      <c r="AZ437" s="21">
        <v>4.60663</v>
      </c>
      <c r="BA437" s="3">
        <v>13.603</v>
      </c>
      <c r="BB437" s="3">
        <v>8</v>
      </c>
    </row>
    <row r="438" spans="1:54" s="3" customFormat="1" ht="47.25" customHeight="1" x14ac:dyDescent="0.25">
      <c r="A438" s="2">
        <v>436</v>
      </c>
      <c r="B438" s="3">
        <v>11</v>
      </c>
      <c r="C438" s="2">
        <v>2</v>
      </c>
      <c r="D438" s="9">
        <v>66</v>
      </c>
      <c r="E438" s="3" t="s">
        <v>16</v>
      </c>
      <c r="F438" s="3">
        <f t="shared" si="57"/>
        <v>1</v>
      </c>
      <c r="G438" s="11"/>
      <c r="H438" s="3" t="s">
        <v>38</v>
      </c>
      <c r="I438" s="3">
        <f t="shared" si="51"/>
        <v>3</v>
      </c>
      <c r="J438" s="3" t="s">
        <v>47</v>
      </c>
      <c r="K438" s="3">
        <v>9</v>
      </c>
      <c r="L438" s="6" t="s">
        <v>151</v>
      </c>
      <c r="M438" s="3">
        <v>55</v>
      </c>
      <c r="N438" s="3">
        <f t="shared" si="52"/>
        <v>0.55000000000000004</v>
      </c>
      <c r="O438" s="3">
        <v>56</v>
      </c>
      <c r="P438" s="3">
        <v>0.56000000000000005</v>
      </c>
      <c r="Q438" s="17">
        <v>0.19666666666666671</v>
      </c>
      <c r="R438" s="21">
        <v>0.43976003557495857</v>
      </c>
      <c r="S438" s="3">
        <v>10</v>
      </c>
      <c r="T438" s="3">
        <v>170.55</v>
      </c>
      <c r="U438" s="3">
        <v>188.26</v>
      </c>
      <c r="V438" s="26">
        <v>-1.5694658043932499</v>
      </c>
      <c r="W438" s="18">
        <v>-0.55730187328417802</v>
      </c>
      <c r="X438" s="18">
        <v>-0.65933317206447095</v>
      </c>
      <c r="Y438" s="18">
        <v>0.113796130486542</v>
      </c>
      <c r="Z438" s="18">
        <v>1.5334355365702199</v>
      </c>
      <c r="AA438" s="18">
        <v>1.7411369657981399</v>
      </c>
      <c r="AB438" s="18">
        <v>-6.0032372800676401E-2</v>
      </c>
      <c r="AC438" s="18">
        <v>0.138794531412781</v>
      </c>
      <c r="AD438" s="18">
        <v>0.61451138848918696</v>
      </c>
      <c r="AE438" s="21">
        <v>-0.85408177023526699</v>
      </c>
      <c r="AF438" s="3">
        <v>16.2712</v>
      </c>
      <c r="AG438" s="3">
        <v>0.40027000000000001</v>
      </c>
      <c r="AH438" s="3">
        <v>2.1363400000000001</v>
      </c>
      <c r="AI438" s="3">
        <v>0.88135600000000003</v>
      </c>
      <c r="AJ438" s="3">
        <v>7.9937499999999995E-2</v>
      </c>
      <c r="AK438" s="3">
        <v>1.92764</v>
      </c>
      <c r="AL438" s="3">
        <v>0.67796599999999996</v>
      </c>
      <c r="AM438" s="3">
        <v>0.158549</v>
      </c>
      <c r="AN438" s="3">
        <v>3.23969</v>
      </c>
      <c r="AO438" s="3">
        <v>24.1356</v>
      </c>
      <c r="AP438" s="3">
        <v>6.7943799999999999E-2</v>
      </c>
      <c r="AQ438" s="3">
        <v>0.324598</v>
      </c>
      <c r="AR438" s="3">
        <v>21.627099999999999</v>
      </c>
      <c r="AS438" s="3">
        <v>0.30291800000000002</v>
      </c>
      <c r="AT438" s="3">
        <v>1.2480599999999999</v>
      </c>
      <c r="AU438" s="3">
        <v>11.254200000000001</v>
      </c>
      <c r="AV438" s="3">
        <v>0.109846</v>
      </c>
      <c r="AW438" s="3">
        <v>1.0062800000000001</v>
      </c>
      <c r="AX438" s="3">
        <v>6.1016899999999996</v>
      </c>
      <c r="AY438" s="3">
        <v>8.6033799999999994E-2</v>
      </c>
      <c r="AZ438" s="21">
        <v>2.7700200000000001</v>
      </c>
      <c r="BA438" s="3">
        <v>17.715</v>
      </c>
      <c r="BB438" s="3">
        <v>9</v>
      </c>
    </row>
    <row r="439" spans="1:54" s="3" customFormat="1" ht="94.5" customHeight="1" x14ac:dyDescent="0.25">
      <c r="A439" s="2">
        <v>437</v>
      </c>
      <c r="B439" s="3">
        <v>11</v>
      </c>
      <c r="C439" s="2">
        <v>2</v>
      </c>
      <c r="D439" s="9">
        <v>66</v>
      </c>
      <c r="E439" s="3" t="s">
        <v>16</v>
      </c>
      <c r="F439" s="3">
        <f t="shared" si="57"/>
        <v>1</v>
      </c>
      <c r="G439" s="11"/>
      <c r="H439" s="3" t="s">
        <v>38</v>
      </c>
      <c r="I439" s="3">
        <f t="shared" si="51"/>
        <v>3</v>
      </c>
      <c r="J439" s="3" t="s">
        <v>48</v>
      </c>
      <c r="K439" s="3">
        <v>10</v>
      </c>
      <c r="L439" s="6" t="s">
        <v>156</v>
      </c>
      <c r="M439" s="3">
        <v>55</v>
      </c>
      <c r="N439" s="3">
        <f t="shared" si="52"/>
        <v>0.55000000000000004</v>
      </c>
      <c r="O439" s="3">
        <v>56</v>
      </c>
      <c r="P439" s="3">
        <v>0.56000000000000005</v>
      </c>
      <c r="Q439" s="17">
        <v>6.8733333333333327E-2</v>
      </c>
      <c r="R439" s="21">
        <v>0.21193872280029949</v>
      </c>
      <c r="S439" s="3">
        <v>12</v>
      </c>
      <c r="T439" s="3">
        <v>197.38</v>
      </c>
      <c r="U439" s="3">
        <v>231.12</v>
      </c>
      <c r="V439" s="26">
        <v>1.2401687696385399</v>
      </c>
      <c r="W439" s="18">
        <v>0.66061841501676299</v>
      </c>
      <c r="X439" s="18">
        <v>2.0090095515456001</v>
      </c>
      <c r="Y439" s="18">
        <v>0.290587794525205</v>
      </c>
      <c r="Z439" s="18">
        <v>2.2043919582297799E-2</v>
      </c>
      <c r="AA439" s="18">
        <v>-0.20038445073841199</v>
      </c>
      <c r="AB439" s="18">
        <v>0.30811679192591201</v>
      </c>
      <c r="AC439" s="18">
        <v>9.4626772423189898E-2</v>
      </c>
      <c r="AD439" s="18">
        <v>-0.10432441634869601</v>
      </c>
      <c r="AE439" s="21">
        <v>-0.45739839283508399</v>
      </c>
      <c r="AF439" s="3">
        <v>9.8518100000000004</v>
      </c>
      <c r="AG439" s="3">
        <v>0.425761</v>
      </c>
      <c r="AH439" s="3">
        <v>2.3261599999999998</v>
      </c>
      <c r="AI439" s="3">
        <v>4.1967999999999996</v>
      </c>
      <c r="AJ439" s="3">
        <v>0.229769</v>
      </c>
      <c r="AK439" s="3">
        <v>2.7616900000000002</v>
      </c>
      <c r="AL439" s="3">
        <v>18.850000000000001</v>
      </c>
      <c r="AM439" s="3">
        <v>0.69621299999999997</v>
      </c>
      <c r="AN439" s="3">
        <v>5.3640600000000003</v>
      </c>
      <c r="AO439" s="3">
        <v>22.406600000000001</v>
      </c>
      <c r="AP439" s="3">
        <v>0.38557599999999997</v>
      </c>
      <c r="AQ439" s="3">
        <v>0.97335799999999995</v>
      </c>
      <c r="AR439" s="3">
        <v>3.7344400000000002</v>
      </c>
      <c r="AS439" s="3">
        <v>4.1766499999999998E-2</v>
      </c>
      <c r="AT439" s="3">
        <v>0.44859199999999999</v>
      </c>
      <c r="AU439" s="3">
        <v>6.5441599999999998</v>
      </c>
      <c r="AV439" s="3">
        <v>0.297099</v>
      </c>
      <c r="AW439" s="3">
        <v>1.4492100000000001</v>
      </c>
      <c r="AX439" s="3">
        <v>7.3621800000000004</v>
      </c>
      <c r="AY439" s="3">
        <v>0.110735</v>
      </c>
      <c r="AZ439" s="21">
        <v>2.8161200000000002</v>
      </c>
      <c r="BA439" s="3">
        <v>33.746000000000002</v>
      </c>
      <c r="BB439" s="3">
        <v>10</v>
      </c>
    </row>
    <row r="440" spans="1:54" s="3" customFormat="1" ht="94.5" customHeight="1" x14ac:dyDescent="0.25">
      <c r="A440" s="2">
        <v>438</v>
      </c>
      <c r="B440" s="3">
        <v>11</v>
      </c>
      <c r="C440" s="2">
        <v>2</v>
      </c>
      <c r="D440" s="9">
        <v>66</v>
      </c>
      <c r="E440" s="3" t="s">
        <v>16</v>
      </c>
      <c r="F440" s="3">
        <f t="shared" si="57"/>
        <v>1</v>
      </c>
      <c r="G440" s="11"/>
      <c r="H440" s="3" t="s">
        <v>38</v>
      </c>
      <c r="I440" s="3">
        <f t="shared" si="51"/>
        <v>3</v>
      </c>
      <c r="J440" s="3" t="s">
        <v>49</v>
      </c>
      <c r="K440" s="3">
        <v>11</v>
      </c>
      <c r="L440" s="6" t="s">
        <v>149</v>
      </c>
      <c r="M440" s="3">
        <v>55</v>
      </c>
      <c r="N440" s="3">
        <f t="shared" si="52"/>
        <v>0.55000000000000004</v>
      </c>
      <c r="O440" s="3">
        <v>56</v>
      </c>
      <c r="P440" s="3">
        <v>0.56000000000000005</v>
      </c>
      <c r="Q440" s="17">
        <v>0.1014583333333334</v>
      </c>
      <c r="R440" s="21">
        <v>0.1064110979139829</v>
      </c>
      <c r="S440" s="3">
        <v>13</v>
      </c>
      <c r="T440" s="3">
        <v>231.12</v>
      </c>
      <c r="U440" s="3">
        <v>272.73</v>
      </c>
      <c r="V440" s="26">
        <v>-0.47838798411981598</v>
      </c>
      <c r="W440" s="18">
        <v>0.33851926407989902</v>
      </c>
      <c r="X440" s="18">
        <v>-0.54361632557501205</v>
      </c>
      <c r="Y440" s="18">
        <v>0.21599388937303701</v>
      </c>
      <c r="Z440" s="18">
        <v>0.39089744657579001</v>
      </c>
      <c r="AA440" s="18">
        <v>0.174882745979801</v>
      </c>
      <c r="AB440" s="18">
        <v>0.37782754695066401</v>
      </c>
      <c r="AC440" s="18">
        <v>-0.21850286220450699</v>
      </c>
      <c r="AD440" s="18">
        <v>-0.48328148942846699</v>
      </c>
      <c r="AE440" s="21">
        <v>0.57869813397219305</v>
      </c>
      <c r="AF440" s="3">
        <v>8.88889</v>
      </c>
      <c r="AG440" s="3">
        <v>0.104337</v>
      </c>
      <c r="AH440" s="3">
        <v>1.43512</v>
      </c>
      <c r="AI440" s="3">
        <v>3.1168800000000001</v>
      </c>
      <c r="AJ440" s="3">
        <v>0.18149299999999999</v>
      </c>
      <c r="AK440" s="3">
        <v>2.22661</v>
      </c>
      <c r="AL440" s="3">
        <v>1.4430000000000001</v>
      </c>
      <c r="AM440" s="3">
        <v>6.5197699999999997E-2</v>
      </c>
      <c r="AN440" s="3">
        <v>2.9365399999999999</v>
      </c>
      <c r="AO440" s="3">
        <v>13.1313</v>
      </c>
      <c r="AP440" s="3">
        <v>9.3312800000000001E-2</v>
      </c>
      <c r="AQ440" s="3">
        <v>0.468642</v>
      </c>
      <c r="AR440" s="3">
        <v>8.2251100000000008</v>
      </c>
      <c r="AS440" s="3">
        <v>0.100132</v>
      </c>
      <c r="AT440" s="3">
        <v>0.47264299999999998</v>
      </c>
      <c r="AU440" s="3">
        <v>5.8874500000000003</v>
      </c>
      <c r="AV440" s="3">
        <v>0.43607499999999999</v>
      </c>
      <c r="AW440" s="3">
        <v>1.3882099999999999</v>
      </c>
      <c r="AX440" s="3">
        <v>3.26118</v>
      </c>
      <c r="AY440" s="3">
        <v>0.55746099999999998</v>
      </c>
      <c r="AZ440" s="21">
        <v>5.5148400000000004</v>
      </c>
      <c r="BA440" s="3">
        <v>41.601999999999997</v>
      </c>
      <c r="BB440" s="3">
        <v>11</v>
      </c>
    </row>
    <row r="441" spans="1:54" s="3" customFormat="1" ht="63" customHeight="1" x14ac:dyDescent="0.25">
      <c r="A441" s="2">
        <v>439</v>
      </c>
      <c r="B441" s="3">
        <v>11</v>
      </c>
      <c r="C441" s="2">
        <v>2</v>
      </c>
      <c r="D441" s="9">
        <v>66</v>
      </c>
      <c r="E441" s="3" t="s">
        <v>16</v>
      </c>
      <c r="F441" s="3">
        <f>IF(E442="Happy", 1,2)</f>
        <v>1</v>
      </c>
      <c r="G441" s="11"/>
      <c r="H441" s="3" t="s">
        <v>38</v>
      </c>
      <c r="I441" s="3">
        <f t="shared" si="51"/>
        <v>3</v>
      </c>
      <c r="J441" s="3" t="s">
        <v>50</v>
      </c>
      <c r="K441" s="3">
        <v>12</v>
      </c>
      <c r="L441" s="6" t="s">
        <v>222</v>
      </c>
      <c r="M441" s="3">
        <v>55</v>
      </c>
      <c r="N441" s="3">
        <f t="shared" si="52"/>
        <v>0.55000000000000004</v>
      </c>
      <c r="O441" s="3">
        <v>56</v>
      </c>
      <c r="P441" s="3">
        <v>0.56000000000000005</v>
      </c>
      <c r="Q441" s="17">
        <v>0.39041666666666658</v>
      </c>
      <c r="R441" s="21">
        <v>0.40342414611258293</v>
      </c>
      <c r="S441" s="3">
        <v>15</v>
      </c>
      <c r="T441" s="3">
        <v>279.39</v>
      </c>
      <c r="U441" s="3">
        <v>309.52999999999997</v>
      </c>
      <c r="V441" s="26">
        <v>-0.95960846715967596</v>
      </c>
      <c r="W441" s="18">
        <v>-1.1126779625183401</v>
      </c>
      <c r="X441" s="18">
        <v>-9.99796112857438E-2</v>
      </c>
      <c r="Y441" s="18">
        <v>-1.3724043192853399</v>
      </c>
      <c r="Z441" s="18">
        <v>-0.484555272763671</v>
      </c>
      <c r="AA441" s="18">
        <v>-3.6342107818611802E-2</v>
      </c>
      <c r="AB441" s="18">
        <v>5.7633872434187799E-2</v>
      </c>
      <c r="AC441" s="18">
        <v>0.53201943047682798</v>
      </c>
      <c r="AD441" s="18">
        <v>-0.532386510431341</v>
      </c>
      <c r="AE441" s="21">
        <v>0.48655072052512499</v>
      </c>
      <c r="AF441" s="3">
        <v>9.2430299999999992</v>
      </c>
      <c r="AG441" s="3">
        <v>0.132712</v>
      </c>
      <c r="AH441" s="3">
        <v>1.56304</v>
      </c>
      <c r="AI441" s="3">
        <v>2.4701200000000001</v>
      </c>
      <c r="AJ441" s="3">
        <v>0.20591100000000001</v>
      </c>
      <c r="AK441" s="3">
        <v>2.34355</v>
      </c>
      <c r="AL441" s="3">
        <v>0.956175</v>
      </c>
      <c r="AM441" s="3">
        <v>0.117714</v>
      </c>
      <c r="AN441" s="3">
        <v>2.95383</v>
      </c>
      <c r="AO441" s="3">
        <v>15.1394</v>
      </c>
      <c r="AP441" s="3">
        <v>0.17342099999999999</v>
      </c>
      <c r="AQ441" s="3">
        <v>0.41202100000000003</v>
      </c>
      <c r="AR441" s="3">
        <v>33.2271</v>
      </c>
      <c r="AS441" s="3">
        <v>0.21657399999999999</v>
      </c>
      <c r="AT441" s="3">
        <v>1.1051</v>
      </c>
      <c r="AU441" s="3">
        <v>10.8367</v>
      </c>
      <c r="AV441" s="3">
        <v>0.196188</v>
      </c>
      <c r="AW441" s="3">
        <v>0.70088399999999995</v>
      </c>
      <c r="AX441" s="3">
        <v>1.63347</v>
      </c>
      <c r="AY441" s="3">
        <v>0.16609199999999999</v>
      </c>
      <c r="AZ441" s="21">
        <v>2.6694499999999999</v>
      </c>
      <c r="BA441" s="3">
        <v>30.15</v>
      </c>
      <c r="BB441" s="3">
        <v>12</v>
      </c>
    </row>
    <row r="442" spans="1:54" s="3" customFormat="1" ht="63" customHeight="1" x14ac:dyDescent="0.25">
      <c r="A442" s="2">
        <v>440</v>
      </c>
      <c r="B442" s="3">
        <v>11</v>
      </c>
      <c r="C442" s="2">
        <v>2</v>
      </c>
      <c r="D442" s="9">
        <v>66</v>
      </c>
      <c r="E442" s="3" t="s">
        <v>16</v>
      </c>
      <c r="F442" s="3">
        <f>IF(E443="Happy", 1,2)</f>
        <v>2</v>
      </c>
      <c r="G442" s="11"/>
      <c r="H442" s="3" t="s">
        <v>38</v>
      </c>
      <c r="I442" s="3">
        <f t="shared" si="51"/>
        <v>3</v>
      </c>
      <c r="J442" s="3" t="s">
        <v>51</v>
      </c>
      <c r="K442" s="3">
        <v>13</v>
      </c>
      <c r="L442" s="6" t="s">
        <v>160</v>
      </c>
      <c r="M442" s="3">
        <v>55</v>
      </c>
      <c r="N442" s="3">
        <f t="shared" si="52"/>
        <v>0.55000000000000004</v>
      </c>
      <c r="O442" s="3">
        <v>56</v>
      </c>
      <c r="P442" s="3">
        <v>0.56000000000000005</v>
      </c>
      <c r="Q442" s="17">
        <v>0.26604166666666668</v>
      </c>
      <c r="R442" s="21">
        <v>0.39281867371176071</v>
      </c>
      <c r="S442" s="3">
        <v>16</v>
      </c>
      <c r="T442" s="3">
        <v>309.52999999999997</v>
      </c>
      <c r="U442" s="3">
        <v>337.7</v>
      </c>
      <c r="V442" s="26">
        <v>-1.4435436501204499</v>
      </c>
      <c r="W442" s="18">
        <v>-1.59259192963714</v>
      </c>
      <c r="X442" s="18">
        <v>-1.1791160012458901</v>
      </c>
      <c r="Y442" s="18">
        <v>0.29902956846831302</v>
      </c>
      <c r="Z442" s="18">
        <v>1.0844451904335</v>
      </c>
      <c r="AA442" s="18">
        <v>0.98685343731439101</v>
      </c>
      <c r="AB442" s="18">
        <v>-0.223212510180126</v>
      </c>
      <c r="AC442" s="18">
        <v>-0.874427044214107</v>
      </c>
      <c r="AD442" s="18">
        <v>-0.18222400464121399</v>
      </c>
      <c r="AE442" s="21">
        <v>0.27079092318564801</v>
      </c>
      <c r="AF442" s="3">
        <v>9.6375299999999999</v>
      </c>
      <c r="AG442" s="3">
        <v>0.30199300000000001</v>
      </c>
      <c r="AH442" s="3">
        <v>2.24064</v>
      </c>
      <c r="AI442" s="3">
        <v>0</v>
      </c>
      <c r="AJ442" s="3">
        <v>7.3824100000000004E-2</v>
      </c>
      <c r="AK442" s="3">
        <v>-0.64170700000000003</v>
      </c>
      <c r="AL442" s="3">
        <v>0</v>
      </c>
      <c r="AM442" s="3">
        <v>0</v>
      </c>
      <c r="AN442" s="3">
        <v>-0.46476800000000001</v>
      </c>
      <c r="AO442" s="3">
        <v>33.688699999999997</v>
      </c>
      <c r="AP442" s="3">
        <v>0.33096199999999998</v>
      </c>
      <c r="AQ442" s="3">
        <v>1.0413600000000001</v>
      </c>
      <c r="AR442" s="3">
        <v>33.4328</v>
      </c>
      <c r="AS442" s="3">
        <v>0.27198600000000001</v>
      </c>
      <c r="AT442" s="3">
        <v>1.3236000000000001</v>
      </c>
      <c r="AU442" s="3">
        <v>14.8401</v>
      </c>
      <c r="AV442" s="3">
        <v>0.19225200000000001</v>
      </c>
      <c r="AW442" s="3">
        <v>0.98231900000000005</v>
      </c>
      <c r="AX442" s="3">
        <v>2.3880599999999998</v>
      </c>
      <c r="AY442" s="3">
        <v>1.3600300000000001</v>
      </c>
      <c r="AZ442" s="21">
        <v>4.8437299999999999</v>
      </c>
      <c r="BA442" s="3">
        <v>28.163</v>
      </c>
      <c r="BB442" s="3">
        <v>13</v>
      </c>
    </row>
    <row r="443" spans="1:54" s="3" customFormat="1" ht="47.25" customHeight="1" x14ac:dyDescent="0.25">
      <c r="A443" s="2">
        <v>441</v>
      </c>
      <c r="B443" s="3">
        <v>11</v>
      </c>
      <c r="C443" s="2">
        <v>2</v>
      </c>
      <c r="D443" s="9">
        <v>66</v>
      </c>
      <c r="E443" s="3" t="s">
        <v>53</v>
      </c>
      <c r="F443" s="3">
        <f t="shared" ref="F443:F450" si="58">IF(E443="Happy", 1,2)</f>
        <v>2</v>
      </c>
      <c r="G443" s="11" t="s">
        <v>54</v>
      </c>
      <c r="H443" s="3" t="s">
        <v>54</v>
      </c>
      <c r="I443" s="3">
        <f t="shared" si="51"/>
        <v>1</v>
      </c>
      <c r="J443" s="3" t="s">
        <v>55</v>
      </c>
      <c r="K443" s="3">
        <v>1</v>
      </c>
      <c r="L443" s="6" t="s">
        <v>175</v>
      </c>
      <c r="M443" s="3">
        <v>-82</v>
      </c>
      <c r="N443" s="3">
        <f t="shared" si="52"/>
        <v>-0.82</v>
      </c>
      <c r="O443" s="3">
        <v>-21</v>
      </c>
      <c r="P443" s="3">
        <v>-0.21</v>
      </c>
      <c r="Q443" s="17">
        <v>-8.7499999999999981E-2</v>
      </c>
      <c r="R443" s="21">
        <v>0.40078048854703491</v>
      </c>
      <c r="S443" s="3">
        <v>2</v>
      </c>
      <c r="T443" s="3">
        <v>17.43</v>
      </c>
      <c r="U443" s="3">
        <v>49.32</v>
      </c>
      <c r="V443" s="26">
        <v>-0.32788182673967198</v>
      </c>
      <c r="W443" s="18">
        <v>-0.55367279416730097</v>
      </c>
      <c r="X443" s="18">
        <v>-1.4779010380475299</v>
      </c>
      <c r="Y443" s="18">
        <v>-0.92013441263413898</v>
      </c>
      <c r="Z443" s="18">
        <v>-0.15067053957813101</v>
      </c>
      <c r="AA443" s="18">
        <v>-0.62948356766445801</v>
      </c>
      <c r="AB443" s="18">
        <v>-1.06080585681341</v>
      </c>
      <c r="AC443" s="18">
        <v>0.86591450403246695</v>
      </c>
      <c r="AD443" s="18">
        <v>0.59291546302195397</v>
      </c>
      <c r="AE443" s="21">
        <v>0.34383460457661702</v>
      </c>
      <c r="AF443" s="3">
        <v>1.20452</v>
      </c>
      <c r="AG443" s="3">
        <v>0.176931</v>
      </c>
      <c r="AH443" s="3">
        <v>2.2418999999999998</v>
      </c>
      <c r="AI443" s="3">
        <v>0</v>
      </c>
      <c r="AJ443" s="3">
        <v>0</v>
      </c>
      <c r="AK443" s="3">
        <v>-0.77400899999999995</v>
      </c>
      <c r="AL443" s="3">
        <v>0</v>
      </c>
      <c r="AM443" s="3">
        <v>9.4744200000000001E-2</v>
      </c>
      <c r="AN443" s="3">
        <v>-0.349132</v>
      </c>
      <c r="AO443" s="3">
        <v>2.2208299999999999</v>
      </c>
      <c r="AP443" s="3">
        <v>0.28710400000000003</v>
      </c>
      <c r="AQ443" s="3">
        <v>1.4713400000000001</v>
      </c>
      <c r="AR443" s="3">
        <v>35.420299999999997</v>
      </c>
      <c r="AS443" s="3">
        <v>0.25379699999999999</v>
      </c>
      <c r="AT443" s="3">
        <v>1.1876100000000001</v>
      </c>
      <c r="AU443" s="3">
        <v>1.3550800000000001</v>
      </c>
      <c r="AV443" s="3">
        <v>0.147809</v>
      </c>
      <c r="AW443" s="3">
        <v>1.41744</v>
      </c>
      <c r="AX443" s="3">
        <v>0</v>
      </c>
      <c r="AY443" s="3">
        <v>0</v>
      </c>
      <c r="AZ443" s="21">
        <v>-0.57464999999999999</v>
      </c>
      <c r="BA443" s="3">
        <v>31.893999999999998</v>
      </c>
      <c r="BB443" s="3">
        <v>1</v>
      </c>
    </row>
    <row r="444" spans="1:54" s="3" customFormat="1" ht="110.25" customHeight="1" x14ac:dyDescent="0.25">
      <c r="A444" s="2">
        <v>442</v>
      </c>
      <c r="B444" s="3">
        <v>11</v>
      </c>
      <c r="C444" s="2">
        <v>2</v>
      </c>
      <c r="D444" s="9">
        <v>66</v>
      </c>
      <c r="E444" s="3" t="s">
        <v>53</v>
      </c>
      <c r="F444" s="3">
        <f t="shared" si="58"/>
        <v>2</v>
      </c>
      <c r="G444" s="11"/>
      <c r="H444" s="3" t="s">
        <v>54</v>
      </c>
      <c r="I444" s="3">
        <f t="shared" si="51"/>
        <v>1</v>
      </c>
      <c r="J444" s="3" t="s">
        <v>56</v>
      </c>
      <c r="K444" s="3">
        <v>2</v>
      </c>
      <c r="L444" s="6" t="s">
        <v>178</v>
      </c>
      <c r="M444" s="3">
        <v>-82</v>
      </c>
      <c r="N444" s="3">
        <f t="shared" si="52"/>
        <v>-0.82</v>
      </c>
      <c r="O444" s="3">
        <v>-21</v>
      </c>
      <c r="P444" s="3">
        <v>-0.21</v>
      </c>
      <c r="Q444" s="17">
        <v>-0.1078571428571428</v>
      </c>
      <c r="R444" s="21">
        <v>0.3067552925766881</v>
      </c>
      <c r="S444" s="3">
        <v>3</v>
      </c>
      <c r="T444" s="3">
        <v>49.32</v>
      </c>
      <c r="U444" s="3">
        <v>100.94</v>
      </c>
      <c r="V444" s="26">
        <v>1.06056741663541</v>
      </c>
      <c r="W444" s="18">
        <v>1.15453407780748</v>
      </c>
      <c r="X444" s="18">
        <v>0.228869847366555</v>
      </c>
      <c r="Y444" s="18">
        <v>0.23317626111564899</v>
      </c>
      <c r="Z444" s="18">
        <v>-0.15190341371879701</v>
      </c>
      <c r="AA444" s="18">
        <v>-0.56624344063974896</v>
      </c>
      <c r="AB444" s="18">
        <v>-0.55210829062245903</v>
      </c>
      <c r="AC444" s="18">
        <v>0.84877477666337298</v>
      </c>
      <c r="AD444" s="18">
        <v>-0.52878718952013604</v>
      </c>
      <c r="AE444" s="21">
        <v>0.27191467213012499</v>
      </c>
      <c r="AF444" s="3">
        <v>3</v>
      </c>
      <c r="AG444" s="3">
        <v>0.10236199999999999</v>
      </c>
      <c r="AH444" s="3">
        <v>1.9679</v>
      </c>
      <c r="AI444" s="3">
        <v>8.7209299999999992</v>
      </c>
      <c r="AJ444" s="3">
        <v>0.33600600000000003</v>
      </c>
      <c r="AK444" s="3">
        <v>2.6091600000000001</v>
      </c>
      <c r="AL444" s="3">
        <v>5.65116</v>
      </c>
      <c r="AM444" s="3">
        <v>8.3765500000000007E-2</v>
      </c>
      <c r="AN444" s="3">
        <v>3.1754099999999998</v>
      </c>
      <c r="AO444" s="3">
        <v>6.34884</v>
      </c>
      <c r="AP444" s="3">
        <v>3.5228799999999998E-2</v>
      </c>
      <c r="AQ444" s="3">
        <v>0.59450999999999998</v>
      </c>
      <c r="AR444" s="3">
        <v>2.67442</v>
      </c>
      <c r="AS444" s="3">
        <v>0.12521199999999999</v>
      </c>
      <c r="AT444" s="3">
        <v>1.0904</v>
      </c>
      <c r="AU444" s="3">
        <v>5.34884</v>
      </c>
      <c r="AV444" s="3">
        <v>9.3243999999999994E-2</v>
      </c>
      <c r="AW444" s="3">
        <v>1.2423299999999999</v>
      </c>
      <c r="AX444" s="3">
        <v>0.72092999999999996</v>
      </c>
      <c r="AY444" s="3">
        <v>0.15374499999999999</v>
      </c>
      <c r="AZ444" s="21">
        <v>4.70458</v>
      </c>
      <c r="BA444" s="3">
        <v>51.622</v>
      </c>
      <c r="BB444" s="3">
        <v>2</v>
      </c>
    </row>
    <row r="445" spans="1:54" s="3" customFormat="1" ht="141.75" customHeight="1" x14ac:dyDescent="0.25">
      <c r="A445" s="2">
        <v>443</v>
      </c>
      <c r="B445" s="3">
        <v>11</v>
      </c>
      <c r="C445" s="2">
        <v>2</v>
      </c>
      <c r="D445" s="9">
        <v>66</v>
      </c>
      <c r="E445" s="3" t="s">
        <v>53</v>
      </c>
      <c r="F445" s="3">
        <f t="shared" si="58"/>
        <v>2</v>
      </c>
      <c r="G445" s="11"/>
      <c r="H445" s="3" t="s">
        <v>54</v>
      </c>
      <c r="I445" s="3">
        <f t="shared" si="51"/>
        <v>1</v>
      </c>
      <c r="J445" s="3" t="s">
        <v>57</v>
      </c>
      <c r="K445" s="3">
        <v>3</v>
      </c>
      <c r="L445" s="6" t="s">
        <v>261</v>
      </c>
      <c r="M445" s="3">
        <v>-82</v>
      </c>
      <c r="N445" s="3">
        <f t="shared" si="52"/>
        <v>-0.82</v>
      </c>
      <c r="O445" s="3">
        <v>-21</v>
      </c>
      <c r="P445" s="3">
        <v>-0.21</v>
      </c>
      <c r="Q445" s="17">
        <v>1.9507575757575758E-2</v>
      </c>
      <c r="R445" s="21">
        <v>0.27273262357966349</v>
      </c>
      <c r="S445" s="3">
        <v>4</v>
      </c>
      <c r="T445" s="3">
        <v>100.94</v>
      </c>
      <c r="U445" s="3">
        <v>170.86</v>
      </c>
      <c r="V445" s="26">
        <v>-0.31567366150708798</v>
      </c>
      <c r="W445" s="18">
        <v>0.60613544455493595</v>
      </c>
      <c r="X445" s="18">
        <v>-0.71020053653173798</v>
      </c>
      <c r="Y445" s="18">
        <v>0.16687471797839401</v>
      </c>
      <c r="Z445" s="18">
        <v>-0.31397032348257398</v>
      </c>
      <c r="AA445" s="18">
        <v>-0.59892458010889404</v>
      </c>
      <c r="AB445" s="18">
        <v>-0.103574204969259</v>
      </c>
      <c r="AC445" s="18">
        <v>0.35238190324304303</v>
      </c>
      <c r="AD445" s="18">
        <v>0.40986428525207802</v>
      </c>
      <c r="AE445" s="21">
        <v>-0.51583333794785902</v>
      </c>
      <c r="AF445" s="3">
        <v>5.7870600000000003</v>
      </c>
      <c r="AG445" s="3">
        <v>7.5498300000000004E-2</v>
      </c>
      <c r="AH445" s="3">
        <v>1.7749699999999999</v>
      </c>
      <c r="AI445" s="3">
        <v>2.1980499999999998</v>
      </c>
      <c r="AJ445" s="3">
        <v>0.14928900000000001</v>
      </c>
      <c r="AK445" s="3">
        <v>2.1317400000000002</v>
      </c>
      <c r="AL445" s="3">
        <v>1.4939899999999999</v>
      </c>
      <c r="AM445" s="3">
        <v>0.52520999999999995</v>
      </c>
      <c r="AN445" s="3">
        <v>4.76248</v>
      </c>
      <c r="AO445" s="3">
        <v>7.3325699999999996</v>
      </c>
      <c r="AP445" s="3">
        <v>0.103086</v>
      </c>
      <c r="AQ445" s="3">
        <v>0.80228299999999997</v>
      </c>
      <c r="AR445" s="3">
        <v>14.3904</v>
      </c>
      <c r="AS445" s="3">
        <v>0.179455</v>
      </c>
      <c r="AT445" s="3">
        <v>1.52861</v>
      </c>
      <c r="AU445" s="3">
        <v>6.8689200000000001</v>
      </c>
      <c r="AV445" s="3">
        <v>0.108698</v>
      </c>
      <c r="AW445" s="3">
        <v>1.3412900000000001</v>
      </c>
      <c r="AX445" s="3">
        <v>0.46365200000000001</v>
      </c>
      <c r="AY445" s="3">
        <v>0.595391</v>
      </c>
      <c r="AZ445" s="21">
        <v>5.3540400000000004</v>
      </c>
      <c r="BA445" s="3">
        <v>69.912000000000006</v>
      </c>
      <c r="BB445" s="3">
        <v>3</v>
      </c>
    </row>
    <row r="446" spans="1:54" s="3" customFormat="1" ht="47.25" customHeight="1" x14ac:dyDescent="0.25">
      <c r="A446" s="2">
        <v>444</v>
      </c>
      <c r="B446" s="3">
        <v>11</v>
      </c>
      <c r="C446" s="2">
        <v>2</v>
      </c>
      <c r="D446" s="9">
        <v>66</v>
      </c>
      <c r="E446" s="3" t="s">
        <v>53</v>
      </c>
      <c r="F446" s="3">
        <f t="shared" si="58"/>
        <v>2</v>
      </c>
      <c r="G446" s="11"/>
      <c r="H446" s="3" t="s">
        <v>54</v>
      </c>
      <c r="I446" s="3">
        <f t="shared" si="51"/>
        <v>1</v>
      </c>
      <c r="J446" s="3" t="s">
        <v>58</v>
      </c>
      <c r="K446" s="3">
        <v>4</v>
      </c>
      <c r="L446" s="6" t="s">
        <v>152</v>
      </c>
      <c r="M446" s="3">
        <v>-82</v>
      </c>
      <c r="N446" s="3">
        <f t="shared" si="52"/>
        <v>-0.82</v>
      </c>
      <c r="O446" s="3">
        <v>-21</v>
      </c>
      <c r="P446" s="3">
        <v>-0.21</v>
      </c>
      <c r="Q446" s="17">
        <v>-0.26750000000000002</v>
      </c>
      <c r="R446" s="21">
        <v>0.58033934038629498</v>
      </c>
      <c r="S446" s="3">
        <v>5</v>
      </c>
      <c r="T446" s="3">
        <v>170.86</v>
      </c>
      <c r="U446" s="3">
        <v>195.16</v>
      </c>
      <c r="V446" s="26">
        <v>0.53971231475018899</v>
      </c>
      <c r="W446" s="18">
        <v>1.30527787059042</v>
      </c>
      <c r="X446" s="18">
        <v>2.7778882999032302</v>
      </c>
      <c r="Y446" s="18">
        <v>-0.32674493980122199</v>
      </c>
      <c r="Z446" s="18">
        <v>0.44413519355904901</v>
      </c>
      <c r="AA446" s="18">
        <v>0.25679780984402101</v>
      </c>
      <c r="AB446" s="18">
        <v>-0.53157382484058302</v>
      </c>
      <c r="AC446" s="18">
        <v>1.1203735334351901</v>
      </c>
      <c r="AD446" s="18">
        <v>1.31740734357745</v>
      </c>
      <c r="AE446" s="21">
        <v>0.189880999183345</v>
      </c>
      <c r="AF446" s="3">
        <v>5.23888</v>
      </c>
      <c r="AG446" s="3">
        <v>0.238152</v>
      </c>
      <c r="AH446" s="3">
        <v>2.5245299999999999</v>
      </c>
      <c r="AI446" s="3">
        <v>0</v>
      </c>
      <c r="AJ446" s="3">
        <v>7.1713699999999998E-3</v>
      </c>
      <c r="AK446" s="3">
        <v>-0.76960600000000001</v>
      </c>
      <c r="AL446" s="3">
        <v>5.4859999999999998</v>
      </c>
      <c r="AM446" s="3">
        <v>0.344883</v>
      </c>
      <c r="AN446" s="3">
        <v>4.9002100000000004</v>
      </c>
      <c r="AO446" s="3">
        <v>20.115300000000001</v>
      </c>
      <c r="AP446" s="3">
        <v>0.11025600000000001</v>
      </c>
      <c r="AQ446" s="3">
        <v>0.90407199999999999</v>
      </c>
      <c r="AR446" s="3">
        <v>23.525500000000001</v>
      </c>
      <c r="AS446" s="3">
        <v>0.37743399999999999</v>
      </c>
      <c r="AT446" s="3">
        <v>1.80705</v>
      </c>
      <c r="AU446" s="3">
        <v>8.7479399999999998</v>
      </c>
      <c r="AV446" s="3">
        <v>0.15218200000000001</v>
      </c>
      <c r="AW446" s="3">
        <v>1.3768400000000001</v>
      </c>
      <c r="AX446" s="3">
        <v>3.0148299999999999</v>
      </c>
      <c r="AY446" s="3">
        <v>0.29870799999999997</v>
      </c>
      <c r="AZ446" s="21">
        <v>4.7286900000000003</v>
      </c>
      <c r="BA446" s="3">
        <v>24.3</v>
      </c>
      <c r="BB446" s="3">
        <v>4</v>
      </c>
    </row>
    <row r="447" spans="1:54" s="3" customFormat="1" ht="63" customHeight="1" x14ac:dyDescent="0.25">
      <c r="A447" s="2">
        <v>445</v>
      </c>
      <c r="B447" s="3">
        <v>11</v>
      </c>
      <c r="C447" s="2">
        <v>2</v>
      </c>
      <c r="D447" s="9">
        <v>66</v>
      </c>
      <c r="E447" s="3" t="s">
        <v>53</v>
      </c>
      <c r="F447" s="3">
        <f t="shared" si="58"/>
        <v>2</v>
      </c>
      <c r="G447" s="11"/>
      <c r="H447" s="3" t="s">
        <v>54</v>
      </c>
      <c r="I447" s="3">
        <f t="shared" si="51"/>
        <v>1</v>
      </c>
      <c r="J447" s="3" t="s">
        <v>59</v>
      </c>
      <c r="K447" s="3">
        <v>5</v>
      </c>
      <c r="L447" s="8" t="s">
        <v>165</v>
      </c>
      <c r="M447" s="3">
        <v>-82</v>
      </c>
      <c r="N447" s="3">
        <f t="shared" si="52"/>
        <v>-0.82</v>
      </c>
      <c r="O447" s="3">
        <v>-21</v>
      </c>
      <c r="P447" s="3">
        <v>-0.21</v>
      </c>
      <c r="Q447" s="17">
        <v>-2.5357142857142849E-2</v>
      </c>
      <c r="R447" s="21">
        <v>0.31408076380204542</v>
      </c>
      <c r="S447" s="3">
        <v>6</v>
      </c>
      <c r="T447" s="3">
        <v>195.16</v>
      </c>
      <c r="U447" s="3">
        <v>225.66</v>
      </c>
      <c r="V447" s="26">
        <v>0.67149502708755304</v>
      </c>
      <c r="W447" s="18">
        <v>0.56096911550917605</v>
      </c>
      <c r="X447" s="18">
        <v>1.54105810697477</v>
      </c>
      <c r="Y447" s="18">
        <v>-0.45057007529417897</v>
      </c>
      <c r="Z447" s="18">
        <v>-0.41585055928843301</v>
      </c>
      <c r="AA447" s="18">
        <v>-0.64547044541343401</v>
      </c>
      <c r="AB447" s="18">
        <v>0.52172532012030304</v>
      </c>
      <c r="AC447" s="18">
        <v>-1.0155001848674301</v>
      </c>
      <c r="AD447" s="18">
        <v>1.0898788431191</v>
      </c>
      <c r="AE447" s="21">
        <v>-0.28096980855228298</v>
      </c>
      <c r="AF447" s="3">
        <v>7.3228299999999997</v>
      </c>
      <c r="AG447" s="3">
        <v>0.16642599999999999</v>
      </c>
      <c r="AH447" s="3">
        <v>2.6805500000000002</v>
      </c>
      <c r="AI447" s="3">
        <v>5.2362200000000003</v>
      </c>
      <c r="AJ447" s="3">
        <v>2.3804800000000001E-2</v>
      </c>
      <c r="AK447" s="3">
        <v>1.6301699999999999</v>
      </c>
      <c r="AL447" s="3">
        <v>2.79528</v>
      </c>
      <c r="AM447" s="3">
        <v>0.112206</v>
      </c>
      <c r="AN447" s="3">
        <v>3.2717999999999998</v>
      </c>
      <c r="AO447" s="3">
        <v>9.0944900000000004</v>
      </c>
      <c r="AP447" s="3">
        <v>6.8702299999999994E-2</v>
      </c>
      <c r="AQ447" s="3">
        <v>0.758969</v>
      </c>
      <c r="AR447" s="3">
        <v>19.842500000000001</v>
      </c>
      <c r="AS447" s="3">
        <v>0.153169</v>
      </c>
      <c r="AT447" s="3">
        <v>1.11086</v>
      </c>
      <c r="AU447" s="3">
        <v>6.4960599999999999</v>
      </c>
      <c r="AV447" s="3">
        <v>0.37152400000000002</v>
      </c>
      <c r="AW447" s="3">
        <v>3.0104099999999998</v>
      </c>
      <c r="AX447" s="3">
        <v>0.23622000000000001</v>
      </c>
      <c r="AY447" s="3">
        <v>0.182611</v>
      </c>
      <c r="AZ447" s="21">
        <v>4.1264399999999997</v>
      </c>
      <c r="BA447" s="3">
        <v>30.501000000000001</v>
      </c>
      <c r="BB447" s="3">
        <v>5</v>
      </c>
    </row>
    <row r="448" spans="1:54" s="3" customFormat="1" ht="31.5" customHeight="1" x14ac:dyDescent="0.25">
      <c r="A448" s="2">
        <v>446</v>
      </c>
      <c r="B448" s="3">
        <v>11</v>
      </c>
      <c r="C448" s="2">
        <v>2</v>
      </c>
      <c r="D448" s="9">
        <v>66</v>
      </c>
      <c r="E448" s="3" t="s">
        <v>53</v>
      </c>
      <c r="F448" s="3">
        <f t="shared" si="58"/>
        <v>2</v>
      </c>
      <c r="G448" s="11"/>
      <c r="H448" s="3" t="s">
        <v>54</v>
      </c>
      <c r="I448" s="3">
        <f t="shared" si="51"/>
        <v>1</v>
      </c>
      <c r="J448" s="3" t="s">
        <v>60</v>
      </c>
      <c r="K448" s="3">
        <v>6</v>
      </c>
      <c r="L448" s="6" t="s">
        <v>157</v>
      </c>
      <c r="M448" s="3">
        <v>-82</v>
      </c>
      <c r="N448" s="3">
        <f t="shared" si="52"/>
        <v>-0.82</v>
      </c>
      <c r="O448" s="3">
        <v>-21</v>
      </c>
      <c r="P448" s="3">
        <v>-0.21</v>
      </c>
      <c r="Q448" s="17">
        <v>-3.3333333333333347E-2</v>
      </c>
      <c r="R448" s="21">
        <v>0.35118845842842472</v>
      </c>
      <c r="S448" s="3">
        <v>7</v>
      </c>
      <c r="T448" s="3">
        <v>225.66</v>
      </c>
      <c r="U448" s="3">
        <v>240.11</v>
      </c>
      <c r="V448" s="26">
        <v>-0.40248018368411298</v>
      </c>
      <c r="W448" s="18">
        <v>0.682432990039752</v>
      </c>
      <c r="X448" s="18">
        <v>-0.84610059840280905</v>
      </c>
      <c r="Y448" s="18">
        <v>1.1386125459872301</v>
      </c>
      <c r="Z448" s="18">
        <v>-0.23260063019868499</v>
      </c>
      <c r="AA448" s="18">
        <v>0.17566086834811401</v>
      </c>
      <c r="AB448" s="18">
        <v>0.70619118422486804</v>
      </c>
      <c r="AC448" s="18">
        <v>-1.8266707436240199</v>
      </c>
      <c r="AD448" s="18">
        <v>2.26801929466952E-2</v>
      </c>
      <c r="AE448" s="21">
        <v>0.210108480183921</v>
      </c>
      <c r="AF448" s="3">
        <v>19.861499999999999</v>
      </c>
      <c r="AG448" s="3">
        <v>0.201153</v>
      </c>
      <c r="AH448" s="3">
        <v>2.27447</v>
      </c>
      <c r="AI448" s="3">
        <v>0</v>
      </c>
      <c r="AJ448" s="3">
        <v>0</v>
      </c>
      <c r="AK448" s="3">
        <v>-0.77400899999999995</v>
      </c>
      <c r="AL448" s="3">
        <v>0</v>
      </c>
      <c r="AM448" s="3">
        <v>0</v>
      </c>
      <c r="AN448" s="3">
        <v>-0.45097700000000002</v>
      </c>
      <c r="AO448" s="3">
        <v>6.5651000000000002</v>
      </c>
      <c r="AP448" s="3">
        <v>0.16326599999999999</v>
      </c>
      <c r="AQ448" s="3">
        <v>1.32701</v>
      </c>
      <c r="AR448" s="3">
        <v>6.2326899999999998</v>
      </c>
      <c r="AS448" s="3">
        <v>6.9525900000000002E-2</v>
      </c>
      <c r="AT448" s="3">
        <v>0.89429899999999996</v>
      </c>
      <c r="AU448" s="3">
        <v>3.8227099999999998</v>
      </c>
      <c r="AV448" s="3">
        <v>0.14624200000000001</v>
      </c>
      <c r="AW448" s="3">
        <v>1.2056500000000001</v>
      </c>
      <c r="AX448" s="3">
        <v>0.49861499999999997</v>
      </c>
      <c r="AY448" s="3">
        <v>0.37509599999999998</v>
      </c>
      <c r="AZ448" s="21">
        <v>5.8387900000000004</v>
      </c>
      <c r="BA448" s="3">
        <v>14.452999999999999</v>
      </c>
      <c r="BB448" s="3">
        <v>6</v>
      </c>
    </row>
    <row r="449" spans="1:54" s="3" customFormat="1" ht="31.5" customHeight="1" x14ac:dyDescent="0.25">
      <c r="A449" s="2">
        <v>447</v>
      </c>
      <c r="B449" s="3">
        <v>11</v>
      </c>
      <c r="C449" s="2">
        <v>2</v>
      </c>
      <c r="D449" s="9">
        <v>66</v>
      </c>
      <c r="E449" s="3" t="s">
        <v>53</v>
      </c>
      <c r="F449" s="3">
        <f t="shared" si="58"/>
        <v>2</v>
      </c>
      <c r="G449" s="11"/>
      <c r="H449" s="3" t="s">
        <v>54</v>
      </c>
      <c r="I449" s="3">
        <f t="shared" si="51"/>
        <v>1</v>
      </c>
      <c r="J449" s="3" t="s">
        <v>61</v>
      </c>
      <c r="K449" s="3">
        <v>7</v>
      </c>
      <c r="L449" s="6" t="s">
        <v>158</v>
      </c>
      <c r="M449" s="3">
        <v>-82</v>
      </c>
      <c r="N449" s="3">
        <f t="shared" si="52"/>
        <v>-0.82</v>
      </c>
      <c r="O449" s="3">
        <v>-21</v>
      </c>
      <c r="P449" s="3">
        <v>-0.21</v>
      </c>
      <c r="Q449" s="17">
        <v>-0.04</v>
      </c>
      <c r="R449" s="21">
        <v>8.9442719099991588E-2</v>
      </c>
      <c r="S449" s="3">
        <v>8</v>
      </c>
      <c r="T449" s="3">
        <v>240.11</v>
      </c>
      <c r="U449" s="3">
        <v>262.63</v>
      </c>
      <c r="V449" s="26">
        <v>0.32145842552014903</v>
      </c>
      <c r="W449" s="18">
        <v>-0.72211419560859702</v>
      </c>
      <c r="X449" s="18">
        <v>0.84656575420005298</v>
      </c>
      <c r="Y449" s="18">
        <v>-0.221521589368745</v>
      </c>
      <c r="Z449" s="18">
        <v>6.5530752907571405E-2</v>
      </c>
      <c r="AA449" s="18">
        <v>-0.28268857578678802</v>
      </c>
      <c r="AB449" s="18">
        <v>0.94230623817713899</v>
      </c>
      <c r="AC449" s="18">
        <v>-0.13544110649273899</v>
      </c>
      <c r="AD449" s="18">
        <v>1.77760623151014</v>
      </c>
      <c r="AE449" s="21">
        <v>0.371928328188528</v>
      </c>
      <c r="AF449" s="3">
        <v>5.12</v>
      </c>
      <c r="AG449" s="3">
        <v>0.199125</v>
      </c>
      <c r="AH449" s="3">
        <v>2.0738500000000002</v>
      </c>
      <c r="AI449" s="3">
        <v>2.9333300000000002</v>
      </c>
      <c r="AJ449" s="3">
        <v>0.334538</v>
      </c>
      <c r="AK449" s="3">
        <v>2.3418199999999998</v>
      </c>
      <c r="AL449" s="3">
        <v>0.85333300000000001</v>
      </c>
      <c r="AM449" s="3">
        <v>0.14065900000000001</v>
      </c>
      <c r="AN449" s="3">
        <v>3.44184</v>
      </c>
      <c r="AO449" s="3">
        <v>9.76</v>
      </c>
      <c r="AP449" s="3">
        <v>0.22575100000000001</v>
      </c>
      <c r="AQ449" s="3">
        <v>1.1695500000000001</v>
      </c>
      <c r="AR449" s="3">
        <v>4</v>
      </c>
      <c r="AS449" s="3">
        <v>2.2803500000000001E-2</v>
      </c>
      <c r="AT449" s="3">
        <v>0.66682900000000001</v>
      </c>
      <c r="AU449" s="3">
        <v>0.69333299999999998</v>
      </c>
      <c r="AV449" s="3">
        <v>8.6189199999999994E-2</v>
      </c>
      <c r="AW449" s="3">
        <v>1.27349</v>
      </c>
      <c r="AX449" s="3">
        <v>0.64</v>
      </c>
      <c r="AY449" s="3">
        <v>0.11426600000000001</v>
      </c>
      <c r="AZ449" s="21">
        <v>4.1489200000000004</v>
      </c>
      <c r="BA449" s="3">
        <v>22.524999999999999</v>
      </c>
      <c r="BB449" s="3">
        <v>7</v>
      </c>
    </row>
    <row r="450" spans="1:54" s="3" customFormat="1" ht="47.25" customHeight="1" x14ac:dyDescent="0.25">
      <c r="A450" s="2">
        <v>448</v>
      </c>
      <c r="B450" s="3">
        <v>11</v>
      </c>
      <c r="C450" s="2">
        <v>2</v>
      </c>
      <c r="D450" s="9">
        <v>66</v>
      </c>
      <c r="E450" s="3" t="s">
        <v>53</v>
      </c>
      <c r="F450" s="3">
        <f t="shared" si="58"/>
        <v>2</v>
      </c>
      <c r="G450" s="11"/>
      <c r="H450" s="3" t="s">
        <v>54</v>
      </c>
      <c r="I450" s="3">
        <f t="shared" si="51"/>
        <v>1</v>
      </c>
      <c r="J450" s="3" t="s">
        <v>62</v>
      </c>
      <c r="K450" s="3">
        <v>8</v>
      </c>
      <c r="L450" s="6" t="s">
        <v>155</v>
      </c>
      <c r="M450" s="3">
        <v>-82</v>
      </c>
      <c r="N450" s="3">
        <f t="shared" si="52"/>
        <v>-0.82</v>
      </c>
      <c r="O450" s="3">
        <v>-21</v>
      </c>
      <c r="P450" s="3">
        <v>-0.21</v>
      </c>
      <c r="Q450" s="17">
        <v>0.32937499999999997</v>
      </c>
      <c r="R450" s="21">
        <v>0.25189593585447151</v>
      </c>
      <c r="S450" s="3">
        <v>10</v>
      </c>
      <c r="T450" s="3">
        <v>279.89999999999998</v>
      </c>
      <c r="U450" s="3">
        <v>299.02</v>
      </c>
      <c r="V450" s="26">
        <v>1.9166480366959799</v>
      </c>
      <c r="W450" s="18">
        <v>0.327023838516315</v>
      </c>
      <c r="X450" s="18">
        <v>0.56663266686782099</v>
      </c>
      <c r="Y450" s="18">
        <v>0.85398282277264703</v>
      </c>
      <c r="Z450" s="18">
        <v>-0.18003536001942499</v>
      </c>
      <c r="AA450" s="18">
        <v>0.15394418043247099</v>
      </c>
      <c r="AB450" s="18">
        <v>0.941836700087614</v>
      </c>
      <c r="AC450" s="18">
        <v>-0.338480953788173</v>
      </c>
      <c r="AD450" s="18">
        <v>-0.328767784597434</v>
      </c>
      <c r="AE450" s="21">
        <v>-0.35963223466563399</v>
      </c>
      <c r="AF450" s="3">
        <v>2.3221799999999999</v>
      </c>
      <c r="AG450" s="3">
        <v>0.196273</v>
      </c>
      <c r="AH450" s="3">
        <v>2.2548400000000002</v>
      </c>
      <c r="AI450" s="3">
        <v>2.63598</v>
      </c>
      <c r="AJ450" s="3">
        <v>0.10438</v>
      </c>
      <c r="AK450" s="3">
        <v>1.8217099999999999</v>
      </c>
      <c r="AL450" s="3">
        <v>3.57741</v>
      </c>
      <c r="AM450" s="3">
        <v>0.195663</v>
      </c>
      <c r="AN450" s="3">
        <v>3.5007600000000001</v>
      </c>
      <c r="AO450" s="3">
        <v>11.1715</v>
      </c>
      <c r="AP450" s="3">
        <v>0.19455600000000001</v>
      </c>
      <c r="AQ450" s="3">
        <v>1.0774699999999999</v>
      </c>
      <c r="AR450" s="3">
        <v>8.3472799999999996</v>
      </c>
      <c r="AS450" s="3">
        <v>0.22509299999999999</v>
      </c>
      <c r="AT450" s="3">
        <v>1.7723899999999999</v>
      </c>
      <c r="AU450" s="3">
        <v>6.7154800000000003</v>
      </c>
      <c r="AV450" s="3">
        <v>0.17918899999999999</v>
      </c>
      <c r="AW450" s="3">
        <v>1.64188</v>
      </c>
      <c r="AX450" s="3">
        <v>0.50209199999999998</v>
      </c>
      <c r="AY450" s="3">
        <v>0.106226</v>
      </c>
      <c r="AZ450" s="21">
        <v>3.9118400000000002</v>
      </c>
      <c r="BA450" s="3">
        <v>19.120999999999999</v>
      </c>
      <c r="BB450" s="3">
        <v>8</v>
      </c>
    </row>
    <row r="451" spans="1:54" s="3" customFormat="1" ht="63" customHeight="1" x14ac:dyDescent="0.25">
      <c r="A451" s="2">
        <v>449</v>
      </c>
      <c r="B451" s="3">
        <v>11</v>
      </c>
      <c r="C451" s="2">
        <v>2</v>
      </c>
      <c r="D451" s="9">
        <v>66</v>
      </c>
      <c r="E451" s="3" t="s">
        <v>53</v>
      </c>
      <c r="F451" s="3">
        <f>IF(E452="Happy", 1,2)</f>
        <v>2</v>
      </c>
      <c r="G451" s="11"/>
      <c r="H451" s="3" t="s">
        <v>54</v>
      </c>
      <c r="I451" s="3">
        <f t="shared" ref="I451:I514" si="59">IF(OR(H451="HM1",H451="SM1"),1, IF(OR(H451="HM2",H451="SM2"),2,IF(OR(H451="HM3",H451="SM3"),3 )))</f>
        <v>1</v>
      </c>
      <c r="J451" s="3" t="s">
        <v>63</v>
      </c>
      <c r="K451" s="3">
        <v>9</v>
      </c>
      <c r="L451" s="6" t="s">
        <v>152</v>
      </c>
      <c r="M451" s="3">
        <v>-82</v>
      </c>
      <c r="N451" s="3">
        <f t="shared" ref="N451:N514" si="60">M451/100</f>
        <v>-0.82</v>
      </c>
      <c r="O451" s="3">
        <v>-21</v>
      </c>
      <c r="P451" s="3">
        <v>-0.21</v>
      </c>
      <c r="Q451" s="17">
        <v>0.14383333333333331</v>
      </c>
      <c r="R451" s="21">
        <v>0.42896257282994849</v>
      </c>
      <c r="S451" s="3">
        <v>11</v>
      </c>
      <c r="T451" s="3">
        <v>299.02</v>
      </c>
      <c r="U451" s="3">
        <v>323.39</v>
      </c>
      <c r="V451" s="26">
        <v>-0.97521799170493595</v>
      </c>
      <c r="W451" s="18">
        <v>-0.58944896454048201</v>
      </c>
      <c r="X451" s="18">
        <v>-1.3336805642251699</v>
      </c>
      <c r="Y451" s="18">
        <v>-0.30814315474074</v>
      </c>
      <c r="Z451" s="18">
        <v>-2.06364288802083</v>
      </c>
      <c r="AA451" s="18">
        <v>-1.76939746804441</v>
      </c>
      <c r="AB451" s="18">
        <v>7.8137035676762098E-2</v>
      </c>
      <c r="AC451" s="18">
        <v>0.63650584539996502</v>
      </c>
      <c r="AD451" s="18">
        <v>-0.13954634240834901</v>
      </c>
      <c r="AE451" s="21">
        <v>-0.73945937789867</v>
      </c>
      <c r="AF451" s="3">
        <v>14.741199999999999</v>
      </c>
      <c r="AG451" s="3">
        <v>0.23782300000000001</v>
      </c>
      <c r="AH451" s="3">
        <v>2.29176</v>
      </c>
      <c r="AI451" s="3">
        <v>4.4371400000000003</v>
      </c>
      <c r="AJ451" s="3">
        <v>0.24856200000000001</v>
      </c>
      <c r="AK451" s="3">
        <v>2.2263999999999999</v>
      </c>
      <c r="AL451" s="3">
        <v>0.345111</v>
      </c>
      <c r="AM451" s="3">
        <v>0.40952899999999998</v>
      </c>
      <c r="AN451" s="3">
        <v>4.6589099999999997</v>
      </c>
      <c r="AO451" s="3">
        <v>12.2761</v>
      </c>
      <c r="AP451" s="3">
        <v>0.189137</v>
      </c>
      <c r="AQ451" s="3">
        <v>1.1511199999999999</v>
      </c>
      <c r="AR451" s="3">
        <v>9.6631099999999996</v>
      </c>
      <c r="AS451" s="3">
        <v>8.7970999999999994E-2</v>
      </c>
      <c r="AT451" s="3">
        <v>0.91184600000000005</v>
      </c>
      <c r="AU451" s="3">
        <v>5.17666</v>
      </c>
      <c r="AV451" s="3">
        <v>6.1454599999999998E-2</v>
      </c>
      <c r="AW451" s="3">
        <v>1.12748</v>
      </c>
      <c r="AX451" s="3">
        <v>0</v>
      </c>
      <c r="AY451" s="3">
        <v>0</v>
      </c>
      <c r="AZ451" s="21">
        <v>-0.57464999999999999</v>
      </c>
      <c r="BA451" s="3">
        <v>24.364999999999998</v>
      </c>
      <c r="BB451" s="3">
        <v>9</v>
      </c>
    </row>
    <row r="452" spans="1:54" s="3" customFormat="1" ht="110.25" customHeight="1" x14ac:dyDescent="0.25">
      <c r="A452" s="2">
        <v>450</v>
      </c>
      <c r="B452" s="3">
        <v>11</v>
      </c>
      <c r="C452" s="2">
        <v>2</v>
      </c>
      <c r="D452" s="9">
        <v>66</v>
      </c>
      <c r="E452" s="3" t="s">
        <v>53</v>
      </c>
      <c r="F452" s="3">
        <f>IF(E453="Happy", 1,2)</f>
        <v>2</v>
      </c>
      <c r="G452" s="11"/>
      <c r="H452" s="3" t="s">
        <v>54</v>
      </c>
      <c r="I452" s="3">
        <f t="shared" si="59"/>
        <v>1</v>
      </c>
      <c r="J452" s="3" t="s">
        <v>64</v>
      </c>
      <c r="K452" s="3">
        <v>10</v>
      </c>
      <c r="L452" s="6" t="s">
        <v>263</v>
      </c>
      <c r="M452" s="3">
        <v>-82</v>
      </c>
      <c r="N452" s="3">
        <f t="shared" si="60"/>
        <v>-0.82</v>
      </c>
      <c r="O452" s="3">
        <v>-21</v>
      </c>
      <c r="P452" s="3">
        <v>-0.21</v>
      </c>
      <c r="Q452" s="17">
        <v>0.14583333333333329</v>
      </c>
      <c r="R452" s="21">
        <v>0.20623947784607641</v>
      </c>
      <c r="S452" s="3">
        <v>12</v>
      </c>
      <c r="T452" s="3">
        <v>323.39</v>
      </c>
      <c r="U452" s="3">
        <v>330.92</v>
      </c>
      <c r="V452" s="26">
        <v>-2.9646299378668299</v>
      </c>
      <c r="W452" s="18">
        <v>-8.3456421521039797E-2</v>
      </c>
      <c r="X452" s="18">
        <v>-1.41989915942433</v>
      </c>
      <c r="Y452" s="18">
        <v>-2.8588662399315599</v>
      </c>
      <c r="Z452" s="18">
        <v>-0.67721987710940601</v>
      </c>
      <c r="AA452" s="18">
        <v>0.32085142843560299</v>
      </c>
      <c r="AB452" s="18">
        <v>-1.19634585198951</v>
      </c>
      <c r="AC452" s="18">
        <v>0.72879668507970696</v>
      </c>
      <c r="AD452" s="18">
        <v>1.7374995127852799</v>
      </c>
      <c r="AE452" s="21">
        <v>0.85963537009130297</v>
      </c>
      <c r="AF452" s="3">
        <v>9.2553199999999993</v>
      </c>
      <c r="AG452" s="3">
        <v>0.44832300000000003</v>
      </c>
      <c r="AH452" s="3">
        <v>3.23291</v>
      </c>
      <c r="AI452" s="3">
        <v>0</v>
      </c>
      <c r="AJ452" s="3">
        <v>0.21632100000000001</v>
      </c>
      <c r="AK452" s="3">
        <v>2.7650299999999999E-2</v>
      </c>
      <c r="AL452" s="3">
        <v>0</v>
      </c>
      <c r="AM452" s="3">
        <v>0</v>
      </c>
      <c r="AN452" s="3">
        <v>-0.45097700000000002</v>
      </c>
      <c r="AO452" s="3">
        <v>13.404299999999999</v>
      </c>
      <c r="AP452" s="3">
        <v>0.18881000000000001</v>
      </c>
      <c r="AQ452" s="3">
        <v>1.53051</v>
      </c>
      <c r="AR452" s="3">
        <v>21.5426</v>
      </c>
      <c r="AS452" s="3">
        <v>0.17962700000000001</v>
      </c>
      <c r="AT452" s="3">
        <v>1.59128</v>
      </c>
      <c r="AU452" s="3">
        <v>1.1170199999999999</v>
      </c>
      <c r="AV452" s="3">
        <v>2.3603900000000001E-2</v>
      </c>
      <c r="AW452" s="3">
        <v>0.94588499999999998</v>
      </c>
      <c r="AX452" s="3">
        <v>0</v>
      </c>
      <c r="AY452" s="3">
        <v>0</v>
      </c>
      <c r="AZ452" s="21">
        <v>-0.57464999999999999</v>
      </c>
      <c r="BA452" s="3">
        <v>7.5359999999999996</v>
      </c>
      <c r="BB452" s="3">
        <v>10</v>
      </c>
    </row>
    <row r="453" spans="1:54" s="3" customFormat="1" ht="78.75" customHeight="1" x14ac:dyDescent="0.25">
      <c r="A453" s="2">
        <v>451</v>
      </c>
      <c r="B453" s="3">
        <v>11</v>
      </c>
      <c r="C453" s="2">
        <v>2</v>
      </c>
      <c r="D453" s="9">
        <v>66</v>
      </c>
      <c r="E453" s="3" t="s">
        <v>53</v>
      </c>
      <c r="F453" s="3">
        <f t="shared" ref="F453:F460" si="61">IF(E453="Happy", 1,2)</f>
        <v>2</v>
      </c>
      <c r="G453" s="11"/>
      <c r="H453" s="3" t="s">
        <v>54</v>
      </c>
      <c r="I453" s="3">
        <f t="shared" si="59"/>
        <v>1</v>
      </c>
      <c r="J453" s="3" t="s">
        <v>65</v>
      </c>
      <c r="K453" s="3">
        <v>11</v>
      </c>
      <c r="L453" s="6" t="s">
        <v>175</v>
      </c>
      <c r="M453" s="3">
        <v>-82</v>
      </c>
      <c r="N453" s="3">
        <f t="shared" si="60"/>
        <v>-0.82</v>
      </c>
      <c r="O453" s="3">
        <v>-21</v>
      </c>
      <c r="P453" s="3">
        <v>-0.21</v>
      </c>
      <c r="Q453" s="17">
        <v>-9.0833333333333335E-2</v>
      </c>
      <c r="R453" s="21">
        <v>0.29581103202326092</v>
      </c>
      <c r="S453" s="3">
        <v>13</v>
      </c>
      <c r="T453" s="3">
        <v>330.92</v>
      </c>
      <c r="U453" s="3">
        <v>362.47</v>
      </c>
      <c r="V453" s="26">
        <v>-0.49285573781598901</v>
      </c>
      <c r="W453" s="18">
        <v>1.2035968214483399</v>
      </c>
      <c r="X453" s="18">
        <v>-0.65825821309513199</v>
      </c>
      <c r="Y453" s="18">
        <v>-1.0830681203325601</v>
      </c>
      <c r="Z453" s="18">
        <v>-0.28875244333260802</v>
      </c>
      <c r="AA453" s="18">
        <v>-0.20487633895549101</v>
      </c>
      <c r="AB453" s="18">
        <v>-2.0106814119216798</v>
      </c>
      <c r="AC453" s="18">
        <v>-1.7770285901068099E-2</v>
      </c>
      <c r="AD453" s="18">
        <v>0.33402145176596398</v>
      </c>
      <c r="AE453" s="21">
        <v>1.4576163845020499E-2</v>
      </c>
      <c r="AF453" s="3">
        <v>0.98984799999999995</v>
      </c>
      <c r="AG453" s="3">
        <v>0.110966</v>
      </c>
      <c r="AH453" s="3">
        <v>2</v>
      </c>
      <c r="AI453" s="3">
        <v>2.0558399999999999</v>
      </c>
      <c r="AJ453" s="3">
        <v>0.41516399999999998</v>
      </c>
      <c r="AK453" s="3">
        <v>2.7997299999999998</v>
      </c>
      <c r="AL453" s="3">
        <v>0.532995</v>
      </c>
      <c r="AM453" s="3">
        <v>7.7827599999999997E-2</v>
      </c>
      <c r="AN453" s="3">
        <v>3.3354499999999998</v>
      </c>
      <c r="AO453" s="3">
        <v>19.987300000000001</v>
      </c>
      <c r="AP453" s="3">
        <v>0.24817800000000001</v>
      </c>
      <c r="AQ453" s="3">
        <v>1.34798</v>
      </c>
      <c r="AR453" s="3">
        <v>16.4467</v>
      </c>
      <c r="AS453" s="3">
        <v>5.3967599999999998E-2</v>
      </c>
      <c r="AT453" s="3">
        <v>0.740757</v>
      </c>
      <c r="AU453" s="3">
        <v>2.7791899999999998</v>
      </c>
      <c r="AV453" s="3">
        <v>0.18268000000000001</v>
      </c>
      <c r="AW453" s="3">
        <v>1.43357</v>
      </c>
      <c r="AX453" s="3">
        <v>2.8553299999999999</v>
      </c>
      <c r="AY453" s="3">
        <v>0.30630200000000002</v>
      </c>
      <c r="AZ453" s="21">
        <v>4.8167799999999996</v>
      </c>
      <c r="BA453" s="3">
        <v>31.552</v>
      </c>
      <c r="BB453" s="3">
        <v>11</v>
      </c>
    </row>
    <row r="454" spans="1:54" s="3" customFormat="1" ht="31.5" customHeight="1" x14ac:dyDescent="0.25">
      <c r="A454" s="2">
        <v>452</v>
      </c>
      <c r="B454" s="3">
        <v>11</v>
      </c>
      <c r="C454" s="2">
        <v>2</v>
      </c>
      <c r="D454" s="9">
        <v>66</v>
      </c>
      <c r="E454" s="3" t="s">
        <v>53</v>
      </c>
      <c r="F454" s="3">
        <f t="shared" si="61"/>
        <v>2</v>
      </c>
      <c r="G454" s="11"/>
      <c r="H454" s="3" t="s">
        <v>54</v>
      </c>
      <c r="I454" s="3">
        <f t="shared" si="59"/>
        <v>1</v>
      </c>
      <c r="J454" s="3" t="s">
        <v>66</v>
      </c>
      <c r="K454" s="3">
        <v>12</v>
      </c>
      <c r="L454" s="6" t="s">
        <v>260</v>
      </c>
      <c r="M454" s="3">
        <v>-82</v>
      </c>
      <c r="N454" s="3">
        <f t="shared" si="60"/>
        <v>-0.82</v>
      </c>
      <c r="O454" s="3">
        <v>-21</v>
      </c>
      <c r="P454" s="3">
        <v>-0.21</v>
      </c>
      <c r="Q454" s="17">
        <v>6.6666666666666666E-2</v>
      </c>
      <c r="R454" s="21">
        <v>0.1154700538379252</v>
      </c>
      <c r="S454" s="3">
        <v>15</v>
      </c>
      <c r="T454" s="3">
        <v>368.78</v>
      </c>
      <c r="U454" s="3">
        <v>377.55</v>
      </c>
      <c r="V454" s="26">
        <v>-1.3601784093137601</v>
      </c>
      <c r="W454" s="18">
        <v>-1.18580758258622</v>
      </c>
      <c r="X454" s="18">
        <v>0.160933205599676</v>
      </c>
      <c r="Y454" s="18">
        <v>-0.43387329231820598</v>
      </c>
      <c r="Z454" s="18">
        <v>-1.0776798138908601</v>
      </c>
      <c r="AA454" s="18">
        <v>-1.1582884553302399</v>
      </c>
      <c r="AB454" s="18">
        <v>-1.2038271588825999</v>
      </c>
      <c r="AC454" s="18">
        <v>0.59167886612694698</v>
      </c>
      <c r="AD454" s="18">
        <v>-1.1429855935822599</v>
      </c>
      <c r="AE454" s="21">
        <v>1.7237983083936801</v>
      </c>
      <c r="AF454" s="3">
        <v>0</v>
      </c>
      <c r="AG454" s="3">
        <v>0.304616</v>
      </c>
      <c r="AH454" s="3">
        <v>-0.48820400000000003</v>
      </c>
      <c r="AI454" s="3">
        <v>0</v>
      </c>
      <c r="AJ454" s="3">
        <v>0.43640899999999999</v>
      </c>
      <c r="AK454" s="3">
        <v>0.22304199999999999</v>
      </c>
      <c r="AL454" s="3">
        <v>0</v>
      </c>
      <c r="AM454" s="3">
        <v>0.18015400000000001</v>
      </c>
      <c r="AN454" s="3">
        <v>-0.33072099999999999</v>
      </c>
      <c r="AO454" s="3">
        <v>9.7482799999999994</v>
      </c>
      <c r="AP454" s="3">
        <v>0.10191500000000001</v>
      </c>
      <c r="AQ454" s="3">
        <v>0.91598400000000002</v>
      </c>
      <c r="AR454" s="3">
        <v>8.2379899999999999</v>
      </c>
      <c r="AS454" s="3">
        <v>9.2289399999999994E-2</v>
      </c>
      <c r="AT454" s="3">
        <v>0.91286</v>
      </c>
      <c r="AU454" s="3">
        <v>5.6292900000000001</v>
      </c>
      <c r="AV454" s="3">
        <v>9.6411800000000006E-2</v>
      </c>
      <c r="AW454" s="3">
        <v>1.67059</v>
      </c>
      <c r="AX454" s="3">
        <v>0.96109800000000001</v>
      </c>
      <c r="AY454" s="3">
        <v>0.249055</v>
      </c>
      <c r="AZ454" s="21">
        <v>5.37331</v>
      </c>
      <c r="BA454" s="3">
        <v>8.7639999999999993</v>
      </c>
      <c r="BB454" s="3">
        <v>12</v>
      </c>
    </row>
    <row r="455" spans="1:54" s="3" customFormat="1" ht="47.25" customHeight="1" x14ac:dyDescent="0.25">
      <c r="A455" s="2">
        <v>453</v>
      </c>
      <c r="B455" s="3">
        <v>11</v>
      </c>
      <c r="C455" s="2">
        <v>2</v>
      </c>
      <c r="D455" s="9">
        <v>66</v>
      </c>
      <c r="E455" s="3" t="s">
        <v>53</v>
      </c>
      <c r="F455" s="3">
        <f t="shared" si="61"/>
        <v>2</v>
      </c>
      <c r="G455" s="11" t="s">
        <v>76</v>
      </c>
      <c r="H455" s="3" t="s">
        <v>76</v>
      </c>
      <c r="I455" s="3">
        <f t="shared" si="59"/>
        <v>2</v>
      </c>
      <c r="J455" s="3" t="s">
        <v>77</v>
      </c>
      <c r="K455" s="3">
        <v>1</v>
      </c>
      <c r="L455" s="6" t="s">
        <v>147</v>
      </c>
      <c r="M455" s="3">
        <v>-89</v>
      </c>
      <c r="N455" s="3">
        <f t="shared" si="60"/>
        <v>-0.89</v>
      </c>
      <c r="O455" s="3">
        <v>-40</v>
      </c>
      <c r="P455" s="3">
        <v>-0.4</v>
      </c>
      <c r="Q455" s="17">
        <v>-6.3333333333333339E-2</v>
      </c>
      <c r="R455" s="21">
        <v>0.31942656954820348</v>
      </c>
      <c r="S455" s="3">
        <v>2</v>
      </c>
      <c r="T455" s="3">
        <v>31.24</v>
      </c>
      <c r="U455" s="3">
        <v>52.63</v>
      </c>
      <c r="V455" s="26">
        <v>-1.02365143205867</v>
      </c>
      <c r="W455" s="18">
        <v>-0.41813370670828998</v>
      </c>
      <c r="X455" s="18">
        <v>-1.00460157696732</v>
      </c>
      <c r="Y455" s="18">
        <v>-0.317518753235079</v>
      </c>
      <c r="Z455" s="18">
        <v>-0.81575009873321502</v>
      </c>
      <c r="AA455" s="18">
        <v>-1.46748598913897</v>
      </c>
      <c r="AB455" s="18">
        <v>-1.0440276957477299</v>
      </c>
      <c r="AC455" s="18">
        <v>-0.24586050396671699</v>
      </c>
      <c r="AD455" s="18">
        <v>1.5575334672250101</v>
      </c>
      <c r="AE455" s="21">
        <v>-2.1383802378225701E-2</v>
      </c>
      <c r="AF455" s="3">
        <v>14.368600000000001</v>
      </c>
      <c r="AG455" s="3">
        <v>0.116965</v>
      </c>
      <c r="AH455" s="3">
        <v>1.6658900000000001</v>
      </c>
      <c r="AI455" s="3">
        <v>0</v>
      </c>
      <c r="AJ455" s="3">
        <v>0.25761800000000001</v>
      </c>
      <c r="AK455" s="3">
        <v>-8.3745299999999995E-2</v>
      </c>
      <c r="AL455" s="3">
        <v>0</v>
      </c>
      <c r="AM455" s="3">
        <v>0</v>
      </c>
      <c r="AN455" s="3">
        <v>-0.46726499999999999</v>
      </c>
      <c r="AO455" s="3">
        <v>25.032699999999998</v>
      </c>
      <c r="AP455" s="3">
        <v>4.91172E-2</v>
      </c>
      <c r="AQ455" s="3">
        <v>0.53238799999999997</v>
      </c>
      <c r="AR455" s="3">
        <v>20.879300000000001</v>
      </c>
      <c r="AS455" s="3">
        <v>4.54933E-2</v>
      </c>
      <c r="AT455" s="3">
        <v>0.65598299999999998</v>
      </c>
      <c r="AU455" s="3">
        <v>11.5061</v>
      </c>
      <c r="AV455" s="3">
        <v>0.21518999999999999</v>
      </c>
      <c r="AW455" s="3">
        <v>1.1637299999999999</v>
      </c>
      <c r="AX455" s="3">
        <v>0</v>
      </c>
      <c r="AY455" s="3">
        <v>0.12710299999999999</v>
      </c>
      <c r="AZ455" s="21">
        <v>3.7491200000000002E-2</v>
      </c>
      <c r="BA455" s="3">
        <v>21.390999999999998</v>
      </c>
      <c r="BB455" s="3">
        <v>1</v>
      </c>
    </row>
    <row r="456" spans="1:54" s="3" customFormat="1" ht="63" customHeight="1" x14ac:dyDescent="0.25">
      <c r="A456" s="2">
        <v>454</v>
      </c>
      <c r="B456" s="3">
        <v>11</v>
      </c>
      <c r="C456" s="2">
        <v>2</v>
      </c>
      <c r="D456" s="9">
        <v>66</v>
      </c>
      <c r="E456" s="3" t="s">
        <v>53</v>
      </c>
      <c r="F456" s="3">
        <f t="shared" si="61"/>
        <v>2</v>
      </c>
      <c r="G456" s="11"/>
      <c r="H456" s="3" t="s">
        <v>76</v>
      </c>
      <c r="I456" s="3">
        <f t="shared" si="59"/>
        <v>2</v>
      </c>
      <c r="J456" s="3" t="s">
        <v>78</v>
      </c>
      <c r="K456" s="3">
        <v>2</v>
      </c>
      <c r="L456" s="6" t="s">
        <v>223</v>
      </c>
      <c r="M456" s="3">
        <v>-89</v>
      </c>
      <c r="N456" s="3">
        <f t="shared" si="60"/>
        <v>-0.89</v>
      </c>
      <c r="O456" s="3">
        <v>-40</v>
      </c>
      <c r="P456" s="3">
        <v>-0.4</v>
      </c>
      <c r="Q456" s="17">
        <v>-0.05</v>
      </c>
      <c r="R456" s="21">
        <v>7.0710678118654752E-2</v>
      </c>
      <c r="S456" s="3">
        <v>3</v>
      </c>
      <c r="T456" s="3">
        <v>52.63</v>
      </c>
      <c r="U456" s="3">
        <v>79.849999999999994</v>
      </c>
      <c r="V456" s="26">
        <v>0.48386135608312703</v>
      </c>
      <c r="W456" s="18">
        <v>0.24642887521906601</v>
      </c>
      <c r="X456" s="18">
        <v>0.13360017415509401</v>
      </c>
      <c r="Y456" s="18">
        <v>-0.14901945121133101</v>
      </c>
      <c r="Z456" s="18">
        <v>-0.68797950597338997</v>
      </c>
      <c r="AA456" s="18">
        <v>-0.59117872562432405</v>
      </c>
      <c r="AB456" s="18">
        <v>0.37914225360133302</v>
      </c>
      <c r="AC456" s="18">
        <v>0.76241691953446999</v>
      </c>
      <c r="AD456" s="18">
        <v>-0.453972733437223</v>
      </c>
      <c r="AE456" s="21">
        <v>0.76748795664423397</v>
      </c>
      <c r="AF456" s="3">
        <v>6.5735299999999999</v>
      </c>
      <c r="AG456" s="3">
        <v>0.32969599999999999</v>
      </c>
      <c r="AH456" s="3">
        <v>2.1078399999999999</v>
      </c>
      <c r="AI456" s="3">
        <v>1.89706</v>
      </c>
      <c r="AJ456" s="3">
        <v>0.24787999999999999</v>
      </c>
      <c r="AK456" s="3">
        <v>2.5368599999999999</v>
      </c>
      <c r="AL456" s="3">
        <v>8.6911799999999992</v>
      </c>
      <c r="AM456" s="3">
        <v>0.18982399999999999</v>
      </c>
      <c r="AN456" s="3">
        <v>4.19693</v>
      </c>
      <c r="AO456" s="3">
        <v>8.1617599999999992</v>
      </c>
      <c r="AP456" s="3">
        <v>0.25005500000000003</v>
      </c>
      <c r="AQ456" s="3">
        <v>1.1470899999999999</v>
      </c>
      <c r="AR456" s="3">
        <v>7.5441200000000004</v>
      </c>
      <c r="AS456" s="3">
        <v>0.180197</v>
      </c>
      <c r="AT456" s="3">
        <v>1.17143</v>
      </c>
      <c r="AU456" s="3">
        <v>7.5</v>
      </c>
      <c r="AV456" s="3">
        <v>0.25988699999999998</v>
      </c>
      <c r="AW456" s="3">
        <v>1.31714</v>
      </c>
      <c r="AX456" s="3">
        <v>0.83823499999999995</v>
      </c>
      <c r="AY456" s="3">
        <v>0.41114699999999998</v>
      </c>
      <c r="AZ456" s="21">
        <v>3.6135199999999998</v>
      </c>
      <c r="BA456" s="3">
        <v>27.221</v>
      </c>
      <c r="BB456" s="3">
        <v>2</v>
      </c>
    </row>
    <row r="457" spans="1:54" s="3" customFormat="1" ht="47.25" customHeight="1" x14ac:dyDescent="0.25">
      <c r="A457" s="2">
        <v>455</v>
      </c>
      <c r="B457" s="3">
        <v>11</v>
      </c>
      <c r="C457" s="2">
        <v>2</v>
      </c>
      <c r="D457" s="9">
        <v>66</v>
      </c>
      <c r="E457" s="3" t="s">
        <v>53</v>
      </c>
      <c r="F457" s="3">
        <f t="shared" si="61"/>
        <v>2</v>
      </c>
      <c r="G457" s="11"/>
      <c r="H457" s="3" t="s">
        <v>76</v>
      </c>
      <c r="I457" s="3">
        <f t="shared" si="59"/>
        <v>2</v>
      </c>
      <c r="J457" s="3" t="s">
        <v>79</v>
      </c>
      <c r="K457" s="3">
        <v>3</v>
      </c>
      <c r="L457" s="6" t="s">
        <v>159</v>
      </c>
      <c r="M457" s="3">
        <v>-89</v>
      </c>
      <c r="N457" s="3">
        <f t="shared" si="60"/>
        <v>-0.89</v>
      </c>
      <c r="O457" s="3">
        <v>-40</v>
      </c>
      <c r="P457" s="3">
        <v>-0.4</v>
      </c>
      <c r="Q457" s="17">
        <v>0.20250000000000001</v>
      </c>
      <c r="R457" s="21">
        <v>0.44201951314393351</v>
      </c>
      <c r="S457" s="3">
        <v>4</v>
      </c>
      <c r="T457" s="3">
        <v>79.849999999999994</v>
      </c>
      <c r="U457" s="3">
        <v>99.71</v>
      </c>
      <c r="V457" s="26">
        <v>0.32062006230927798</v>
      </c>
      <c r="W457" s="18">
        <v>-0.25531971708358803</v>
      </c>
      <c r="X457" s="18">
        <v>-0.61457891945842902</v>
      </c>
      <c r="Y457" s="18">
        <v>-0.84057256086943299</v>
      </c>
      <c r="Z457" s="18">
        <v>-0.74435547804197899</v>
      </c>
      <c r="AA457" s="18">
        <v>-1.0431970832170401</v>
      </c>
      <c r="AB457" s="18">
        <v>-0.181736645605453</v>
      </c>
      <c r="AC457" s="18">
        <v>1.4252629145200499</v>
      </c>
      <c r="AD457" s="18">
        <v>-0.52981556692333798</v>
      </c>
      <c r="AE457" s="21">
        <v>1.27317498165863</v>
      </c>
      <c r="AF457" s="3">
        <v>9.9193499999999997</v>
      </c>
      <c r="AG457" s="3">
        <v>0.196049</v>
      </c>
      <c r="AH457" s="3">
        <v>1.72058</v>
      </c>
      <c r="AI457" s="3">
        <v>0</v>
      </c>
      <c r="AJ457" s="3">
        <v>8.1916000000000003E-2</v>
      </c>
      <c r="AK457" s="3">
        <v>-0.76039299999999999</v>
      </c>
      <c r="AL457" s="3">
        <v>2.2983899999999999</v>
      </c>
      <c r="AM457" s="3">
        <v>0.32262099999999999</v>
      </c>
      <c r="AN457" s="3">
        <v>4.4859099999999996</v>
      </c>
      <c r="AO457" s="3">
        <v>15.5444</v>
      </c>
      <c r="AP457" s="3">
        <v>8.7632299999999996E-2</v>
      </c>
      <c r="AQ457" s="3">
        <v>0.72345599999999999</v>
      </c>
      <c r="AR457" s="3">
        <v>10.161300000000001</v>
      </c>
      <c r="AS457" s="3">
        <v>4.5898399999999999E-2</v>
      </c>
      <c r="AT457" s="3">
        <v>0.70168900000000001</v>
      </c>
      <c r="AU457" s="3">
        <v>1.875</v>
      </c>
      <c r="AV457" s="3">
        <v>0.14712700000000001</v>
      </c>
      <c r="AW457" s="3">
        <v>1.1435500000000001</v>
      </c>
      <c r="AX457" s="3">
        <v>0</v>
      </c>
      <c r="AY457" s="3">
        <v>0.15632799999999999</v>
      </c>
      <c r="AZ457" s="21">
        <v>-0.37325000000000003</v>
      </c>
      <c r="BA457" s="3">
        <v>19.856000000000002</v>
      </c>
      <c r="BB457" s="3">
        <v>3</v>
      </c>
    </row>
    <row r="458" spans="1:54" s="3" customFormat="1" ht="47.25" customHeight="1" x14ac:dyDescent="0.25">
      <c r="A458" s="2">
        <v>456</v>
      </c>
      <c r="B458" s="3">
        <v>11</v>
      </c>
      <c r="C458" s="2">
        <v>2</v>
      </c>
      <c r="D458" s="9">
        <v>66</v>
      </c>
      <c r="E458" s="3" t="s">
        <v>53</v>
      </c>
      <c r="F458" s="3">
        <f t="shared" si="61"/>
        <v>2</v>
      </c>
      <c r="G458" s="11"/>
      <c r="H458" s="3" t="s">
        <v>76</v>
      </c>
      <c r="I458" s="3">
        <f t="shared" si="59"/>
        <v>2</v>
      </c>
      <c r="J458" s="3" t="s">
        <v>80</v>
      </c>
      <c r="K458" s="3">
        <v>4</v>
      </c>
      <c r="L458" s="6" t="s">
        <v>222</v>
      </c>
      <c r="M458" s="3">
        <v>-89</v>
      </c>
      <c r="N458" s="3">
        <f t="shared" si="60"/>
        <v>-0.89</v>
      </c>
      <c r="O458" s="3">
        <v>-40</v>
      </c>
      <c r="P458" s="3">
        <v>-0.4</v>
      </c>
      <c r="Q458" s="17">
        <v>-0.14849999999999999</v>
      </c>
      <c r="R458" s="21">
        <v>0.44666682213927639</v>
      </c>
      <c r="S458" s="3">
        <v>5</v>
      </c>
      <c r="T458" s="3">
        <v>99.71</v>
      </c>
      <c r="U458" s="3">
        <v>129.27000000000001</v>
      </c>
      <c r="V458" s="26">
        <v>-1.36235815366202</v>
      </c>
      <c r="W458" s="18">
        <v>-1.3442439537550199</v>
      </c>
      <c r="X458" s="18">
        <v>-1.4825642942170101</v>
      </c>
      <c r="Y458" s="18">
        <v>-0.28319136273190298</v>
      </c>
      <c r="Z458" s="18">
        <v>-2.2604544326578901</v>
      </c>
      <c r="AA458" s="18">
        <v>-2.1032119640506801</v>
      </c>
      <c r="AB458" s="18">
        <v>-0.24975706350791699</v>
      </c>
      <c r="AC458" s="18">
        <v>-0.43241984417648299</v>
      </c>
      <c r="AD458" s="18">
        <v>2.1994980611735699</v>
      </c>
      <c r="AE458" s="21">
        <v>0.53824317197104099</v>
      </c>
      <c r="AF458" s="3">
        <v>7.71835</v>
      </c>
      <c r="AG458" s="3">
        <v>7.2387800000000002E-2</v>
      </c>
      <c r="AH458" s="3">
        <v>1.37995</v>
      </c>
      <c r="AI458" s="3">
        <v>5.1997299999999997</v>
      </c>
      <c r="AJ458" s="3">
        <v>3.8470799999999999E-2</v>
      </c>
      <c r="AK458" s="3">
        <v>2.1589900000000002</v>
      </c>
      <c r="AL458" s="3">
        <v>2.0717699999999999</v>
      </c>
      <c r="AM458" s="3">
        <v>0.111467</v>
      </c>
      <c r="AN458" s="3">
        <v>3.6402100000000002</v>
      </c>
      <c r="AO458" s="3">
        <v>16.127300000000002</v>
      </c>
      <c r="AP458" s="3">
        <v>8.5020999999999999E-2</v>
      </c>
      <c r="AQ458" s="3">
        <v>0.54073199999999999</v>
      </c>
      <c r="AR458" s="3">
        <v>8.6933000000000007</v>
      </c>
      <c r="AS458" s="3">
        <v>6.0589999999999998E-2</v>
      </c>
      <c r="AT458" s="3">
        <v>0.71426500000000004</v>
      </c>
      <c r="AU458" s="3">
        <v>10.7651</v>
      </c>
      <c r="AV458" s="3">
        <v>0.19505400000000001</v>
      </c>
      <c r="AW458" s="3">
        <v>1.02308</v>
      </c>
      <c r="AX458" s="3">
        <v>1.29993</v>
      </c>
      <c r="AY458" s="3">
        <v>0.19353699999999999</v>
      </c>
      <c r="AZ458" s="21">
        <v>3.4224199999999998</v>
      </c>
      <c r="BA458" s="3">
        <v>29.562999999999999</v>
      </c>
      <c r="BB458" s="3">
        <v>4</v>
      </c>
    </row>
    <row r="459" spans="1:54" s="3" customFormat="1" ht="78.75" customHeight="1" x14ac:dyDescent="0.25">
      <c r="A459" s="2">
        <v>457</v>
      </c>
      <c r="B459" s="3">
        <v>11</v>
      </c>
      <c r="C459" s="2">
        <v>2</v>
      </c>
      <c r="D459" s="9">
        <v>66</v>
      </c>
      <c r="E459" s="3" t="s">
        <v>53</v>
      </c>
      <c r="F459" s="3">
        <f t="shared" si="61"/>
        <v>2</v>
      </c>
      <c r="G459" s="11"/>
      <c r="H459" s="3" t="s">
        <v>76</v>
      </c>
      <c r="I459" s="3">
        <f t="shared" si="59"/>
        <v>2</v>
      </c>
      <c r="J459" s="3" t="s">
        <v>81</v>
      </c>
      <c r="K459" s="3">
        <v>5</v>
      </c>
      <c r="L459" s="6" t="s">
        <v>164</v>
      </c>
      <c r="M459" s="3">
        <v>-89</v>
      </c>
      <c r="N459" s="3">
        <f t="shared" si="60"/>
        <v>-0.89</v>
      </c>
      <c r="O459" s="3">
        <v>-40</v>
      </c>
      <c r="P459" s="3">
        <v>-0.4</v>
      </c>
      <c r="Q459" s="17">
        <v>9.1111111111111115E-2</v>
      </c>
      <c r="R459" s="21">
        <v>0.48669823670433721</v>
      </c>
      <c r="S459" s="3">
        <v>7</v>
      </c>
      <c r="T459" s="3">
        <v>136.78</v>
      </c>
      <c r="U459" s="3">
        <v>169.35</v>
      </c>
      <c r="V459" s="26">
        <v>0.156340795036257</v>
      </c>
      <c r="W459" s="18">
        <v>-1.19513090738924</v>
      </c>
      <c r="X459" s="18">
        <v>-0.92377690399864598</v>
      </c>
      <c r="Y459" s="18">
        <v>-0.98535271929196699</v>
      </c>
      <c r="Z459" s="18">
        <v>-1.33635922449583</v>
      </c>
      <c r="AA459" s="18">
        <v>-1.2921608718786399</v>
      </c>
      <c r="AB459" s="18">
        <v>0.28094618781208802</v>
      </c>
      <c r="AC459" s="18">
        <v>0.70374631430949097</v>
      </c>
      <c r="AD459" s="18">
        <v>-0.49382235781128297</v>
      </c>
      <c r="AE459" s="21">
        <v>-0.39783969877783298</v>
      </c>
      <c r="AF459" s="3">
        <v>0</v>
      </c>
      <c r="AG459" s="3">
        <v>0.25514799999999999</v>
      </c>
      <c r="AH459" s="3">
        <v>-0.55371700000000001</v>
      </c>
      <c r="AI459" s="3">
        <v>6.1216999999999997</v>
      </c>
      <c r="AJ459" s="3">
        <v>0.44850800000000002</v>
      </c>
      <c r="AK459" s="3">
        <v>3.4466600000000001</v>
      </c>
      <c r="AL459" s="3">
        <v>0.47941</v>
      </c>
      <c r="AM459" s="3">
        <v>0.26593099999999997</v>
      </c>
      <c r="AN459" s="3">
        <v>4.57355</v>
      </c>
      <c r="AO459" s="3">
        <v>14.456099999999999</v>
      </c>
      <c r="AP459" s="3">
        <v>0.15537799999999999</v>
      </c>
      <c r="AQ459" s="3">
        <v>1.17683</v>
      </c>
      <c r="AR459" s="3">
        <v>17.7013</v>
      </c>
      <c r="AS459" s="3">
        <v>0.109717</v>
      </c>
      <c r="AT459" s="3">
        <v>0.93035999999999996</v>
      </c>
      <c r="AU459" s="3">
        <v>16.3368</v>
      </c>
      <c r="AV459" s="3">
        <v>0.160857</v>
      </c>
      <c r="AW459" s="3">
        <v>1.0117</v>
      </c>
      <c r="AX459" s="3">
        <v>0.47941</v>
      </c>
      <c r="AY459" s="3">
        <v>0.26401999999999998</v>
      </c>
      <c r="AZ459" s="21">
        <v>3.5412400000000002</v>
      </c>
      <c r="BA459" s="3">
        <v>32.564</v>
      </c>
      <c r="BB459" s="3">
        <v>5</v>
      </c>
    </row>
    <row r="460" spans="1:54" s="3" customFormat="1" ht="47.25" customHeight="1" x14ac:dyDescent="0.25">
      <c r="A460" s="2">
        <v>458</v>
      </c>
      <c r="B460" s="3">
        <v>11</v>
      </c>
      <c r="C460" s="2">
        <v>2</v>
      </c>
      <c r="D460" s="9">
        <v>66</v>
      </c>
      <c r="E460" s="3" t="s">
        <v>53</v>
      </c>
      <c r="F460" s="3">
        <f t="shared" si="61"/>
        <v>2</v>
      </c>
      <c r="G460" s="11"/>
      <c r="H460" s="3" t="s">
        <v>76</v>
      </c>
      <c r="I460" s="3">
        <f t="shared" si="59"/>
        <v>2</v>
      </c>
      <c r="J460" s="3" t="s">
        <v>82</v>
      </c>
      <c r="K460" s="3">
        <v>6</v>
      </c>
      <c r="L460" s="6" t="s">
        <v>155</v>
      </c>
      <c r="M460" s="3">
        <v>-89</v>
      </c>
      <c r="N460" s="3">
        <f t="shared" si="60"/>
        <v>-0.89</v>
      </c>
      <c r="O460" s="3">
        <v>-40</v>
      </c>
      <c r="P460" s="3">
        <v>-0.4</v>
      </c>
      <c r="Q460" s="17">
        <v>0.17249999999999999</v>
      </c>
      <c r="R460" s="21">
        <v>0.24395183950935889</v>
      </c>
      <c r="S460" s="3">
        <v>12</v>
      </c>
      <c r="T460" s="3">
        <v>216.89</v>
      </c>
      <c r="U460" s="3">
        <v>236.12</v>
      </c>
      <c r="V460" s="26">
        <v>-0.848864679209405</v>
      </c>
      <c r="W460" s="18">
        <v>-0.785345719595268</v>
      </c>
      <c r="X460" s="18">
        <v>-0.48053421381557598</v>
      </c>
      <c r="Y460" s="18">
        <v>-1.45633646994979</v>
      </c>
      <c r="Z460" s="18">
        <v>-1.7454492802619299</v>
      </c>
      <c r="AA460" s="18">
        <v>-1.2822928654804899</v>
      </c>
      <c r="AB460" s="18">
        <v>0.32282898539768301</v>
      </c>
      <c r="AC460" s="18">
        <v>4.6833301874751897E-2</v>
      </c>
      <c r="AD460" s="18">
        <v>-0.10818083161070199</v>
      </c>
      <c r="AE460" s="21">
        <v>0.79895292708957499</v>
      </c>
      <c r="AF460" s="3">
        <v>9.1779399999999995</v>
      </c>
      <c r="AG460" s="3">
        <v>0.42973600000000001</v>
      </c>
      <c r="AH460" s="3">
        <v>3.1272700000000002</v>
      </c>
      <c r="AI460" s="3">
        <v>7.4297599999999999</v>
      </c>
      <c r="AJ460" s="3">
        <v>0.123153</v>
      </c>
      <c r="AK460" s="3">
        <v>2.34301</v>
      </c>
      <c r="AL460" s="3">
        <v>1.3111299999999999</v>
      </c>
      <c r="AM460" s="3">
        <v>0.52683999999999997</v>
      </c>
      <c r="AN460" s="3">
        <v>4.7055499999999997</v>
      </c>
      <c r="AO460" s="3">
        <v>22.476600000000001</v>
      </c>
      <c r="AP460" s="3">
        <v>0.16741200000000001</v>
      </c>
      <c r="AQ460" s="3">
        <v>0.82443900000000003</v>
      </c>
      <c r="AR460" s="3">
        <v>3.18418</v>
      </c>
      <c r="AS460" s="3">
        <v>8.4831799999999999E-2</v>
      </c>
      <c r="AT460" s="3">
        <v>0.88154999999999994</v>
      </c>
      <c r="AU460" s="3">
        <v>11.9251</v>
      </c>
      <c r="AV460" s="3">
        <v>0.216337</v>
      </c>
      <c r="AW460" s="3">
        <v>1.3004100000000001</v>
      </c>
      <c r="AX460" s="3">
        <v>15.109299999999999</v>
      </c>
      <c r="AY460" s="3">
        <v>0.33033099999999999</v>
      </c>
      <c r="AZ460" s="21">
        <v>3.4106100000000001</v>
      </c>
      <c r="BA460" s="3">
        <v>19.228999999999999</v>
      </c>
      <c r="BB460" s="3">
        <v>6</v>
      </c>
    </row>
    <row r="461" spans="1:54" s="3" customFormat="1" ht="31.5" customHeight="1" x14ac:dyDescent="0.25">
      <c r="A461" s="2">
        <v>459</v>
      </c>
      <c r="B461" s="3">
        <v>11</v>
      </c>
      <c r="C461" s="2">
        <v>2</v>
      </c>
      <c r="D461" s="9">
        <v>66</v>
      </c>
      <c r="E461" s="3" t="s">
        <v>53</v>
      </c>
      <c r="F461" s="3">
        <f>IF(E462="Happy", 1,2)</f>
        <v>2</v>
      </c>
      <c r="G461" s="11"/>
      <c r="H461" s="3" t="s">
        <v>76</v>
      </c>
      <c r="I461" s="3">
        <f t="shared" si="59"/>
        <v>2</v>
      </c>
      <c r="J461" s="3" t="s">
        <v>83</v>
      </c>
      <c r="K461" s="3">
        <v>7</v>
      </c>
      <c r="L461" s="6" t="s">
        <v>262</v>
      </c>
      <c r="M461" s="3">
        <v>-89</v>
      </c>
      <c r="N461" s="3">
        <f t="shared" si="60"/>
        <v>-0.89</v>
      </c>
      <c r="O461" s="3">
        <v>-40</v>
      </c>
      <c r="P461" s="3">
        <v>-0.4</v>
      </c>
      <c r="Q461" s="17">
        <v>0.19</v>
      </c>
      <c r="R461" s="21">
        <v>0.60770058416953987</v>
      </c>
      <c r="S461" s="3">
        <v>13</v>
      </c>
      <c r="T461" s="3">
        <v>236.12</v>
      </c>
      <c r="U461" s="3">
        <v>250.89</v>
      </c>
      <c r="V461" s="26">
        <v>1.4404417640982801</v>
      </c>
      <c r="W461" s="18">
        <v>1.42699571382531</v>
      </c>
      <c r="X461" s="18">
        <v>0.90591420064249595</v>
      </c>
      <c r="Y461" s="18">
        <v>-1.0871022423938701</v>
      </c>
      <c r="Z461" s="18">
        <v>-0.180371598421423</v>
      </c>
      <c r="AA461" s="18">
        <v>0.69629547114661405</v>
      </c>
      <c r="AB461" s="18">
        <v>-0.30372264126394399</v>
      </c>
      <c r="AC461" s="18">
        <v>2.1622711913911399</v>
      </c>
      <c r="AD461" s="18">
        <v>-0.15651456956117499</v>
      </c>
      <c r="AE461" s="21">
        <v>0.92031781309302996</v>
      </c>
      <c r="AF461" s="3">
        <v>0</v>
      </c>
      <c r="AG461" s="3">
        <v>0.115594</v>
      </c>
      <c r="AH461" s="3">
        <v>-0.64682099999999998</v>
      </c>
      <c r="AI461" s="3">
        <v>0.65128900000000001</v>
      </c>
      <c r="AJ461" s="3">
        <v>0.122292</v>
      </c>
      <c r="AK461" s="3">
        <v>2.4741200000000001</v>
      </c>
      <c r="AL461" s="3">
        <v>5.7801900000000002</v>
      </c>
      <c r="AM461" s="3">
        <v>0.23921700000000001</v>
      </c>
      <c r="AN461" s="3">
        <v>3.7110599999999998</v>
      </c>
      <c r="AO461" s="3">
        <v>18.154699999999998</v>
      </c>
      <c r="AP461" s="3">
        <v>0.11797199999999999</v>
      </c>
      <c r="AQ461" s="3">
        <v>0.95522399999999996</v>
      </c>
      <c r="AR461" s="3">
        <v>10.4206</v>
      </c>
      <c r="AS461" s="3">
        <v>0.15848999999999999</v>
      </c>
      <c r="AT461" s="3">
        <v>0.94816100000000003</v>
      </c>
      <c r="AU461" s="3">
        <v>5.2917199999999998</v>
      </c>
      <c r="AV461" s="3">
        <v>0.114484</v>
      </c>
      <c r="AW461" s="3">
        <v>0.82072100000000003</v>
      </c>
      <c r="AX461" s="3">
        <v>0</v>
      </c>
      <c r="AY461" s="3">
        <v>4.27395E-2</v>
      </c>
      <c r="AZ461" s="21">
        <v>1.12924</v>
      </c>
      <c r="BA461" s="3">
        <v>14.768000000000001</v>
      </c>
      <c r="BB461" s="3">
        <v>7</v>
      </c>
    </row>
    <row r="462" spans="1:54" s="3" customFormat="1" ht="31.5" customHeight="1" x14ac:dyDescent="0.25">
      <c r="A462" s="2">
        <v>460</v>
      </c>
      <c r="B462" s="3">
        <v>11</v>
      </c>
      <c r="C462" s="2">
        <v>2</v>
      </c>
      <c r="D462" s="9">
        <v>66</v>
      </c>
      <c r="E462" s="3" t="s">
        <v>53</v>
      </c>
      <c r="F462" s="3">
        <f>IF(E463="Happy", 1,2)</f>
        <v>2</v>
      </c>
      <c r="G462" s="11"/>
      <c r="H462" s="3" t="s">
        <v>76</v>
      </c>
      <c r="I462" s="3">
        <f t="shared" si="59"/>
        <v>2</v>
      </c>
      <c r="J462" s="3" t="s">
        <v>94</v>
      </c>
      <c r="K462" s="3">
        <v>8</v>
      </c>
      <c r="L462" s="6" t="s">
        <v>151</v>
      </c>
      <c r="M462" s="3">
        <v>-89</v>
      </c>
      <c r="N462" s="3">
        <f t="shared" si="60"/>
        <v>-0.89</v>
      </c>
      <c r="O462" s="3">
        <v>-40</v>
      </c>
      <c r="P462" s="3">
        <v>-0.4</v>
      </c>
      <c r="Q462" s="17">
        <v>0.1835</v>
      </c>
      <c r="R462" s="21">
        <v>0.4006073514053381</v>
      </c>
      <c r="S462" s="3">
        <v>14</v>
      </c>
      <c r="T462" s="3">
        <v>250.89</v>
      </c>
      <c r="U462" s="3">
        <v>268.85000000000002</v>
      </c>
      <c r="V462" s="26">
        <v>0.41862871386584599</v>
      </c>
      <c r="W462" s="18">
        <v>-1.5337981745889699</v>
      </c>
      <c r="X462" s="18">
        <v>-0.43379836424826101</v>
      </c>
      <c r="Y462" s="18">
        <v>-1.5851295520552899</v>
      </c>
      <c r="Z462" s="18">
        <v>-1.3492483632391501</v>
      </c>
      <c r="AA462" s="18">
        <v>-0.76788324162848898</v>
      </c>
      <c r="AB462" s="18">
        <v>-0.63718859244431603</v>
      </c>
      <c r="AC462" s="18">
        <v>-2.1991302037601299</v>
      </c>
      <c r="AD462" s="18">
        <v>7.8726761421179403E-2</v>
      </c>
      <c r="AE462" s="21">
        <v>2.2564553080755201</v>
      </c>
      <c r="AF462" s="3">
        <v>3.1438100000000002</v>
      </c>
      <c r="AG462" s="3">
        <v>0.45869700000000002</v>
      </c>
      <c r="AH462" s="3">
        <v>2.1964299999999999</v>
      </c>
      <c r="AI462" s="3">
        <v>1.20401</v>
      </c>
      <c r="AJ462" s="3">
        <v>5.99166E-2</v>
      </c>
      <c r="AK462" s="3">
        <v>2.2233999999999998</v>
      </c>
      <c r="AL462" s="3">
        <v>1.80602</v>
      </c>
      <c r="AM462" s="3">
        <v>0.19575000000000001</v>
      </c>
      <c r="AN462" s="3">
        <v>4.1438300000000003</v>
      </c>
      <c r="AO462" s="3">
        <v>11.1037</v>
      </c>
      <c r="AP462" s="3">
        <v>0.28068599999999999</v>
      </c>
      <c r="AQ462" s="3">
        <v>1.56501</v>
      </c>
      <c r="AR462" s="3">
        <v>16.989999999999998</v>
      </c>
      <c r="AS462" s="3">
        <v>0.125556</v>
      </c>
      <c r="AT462" s="3">
        <v>1.07853</v>
      </c>
      <c r="AU462" s="3">
        <v>10.367900000000001</v>
      </c>
      <c r="AV462" s="3">
        <v>0.192914</v>
      </c>
      <c r="AW462" s="3">
        <v>1.81518</v>
      </c>
      <c r="AX462" s="3">
        <v>0</v>
      </c>
      <c r="AY462" s="3">
        <v>0</v>
      </c>
      <c r="AZ462" s="21">
        <v>-0.54112099999999996</v>
      </c>
      <c r="BA462" s="3">
        <v>17.963000000000001</v>
      </c>
      <c r="BB462" s="3">
        <v>8</v>
      </c>
    </row>
    <row r="463" spans="1:54" s="3" customFormat="1" ht="78.75" customHeight="1" x14ac:dyDescent="0.25">
      <c r="A463" s="2">
        <v>461</v>
      </c>
      <c r="B463" s="3">
        <v>11</v>
      </c>
      <c r="C463" s="2">
        <v>2</v>
      </c>
      <c r="D463" s="9">
        <v>66</v>
      </c>
      <c r="E463" s="3" t="s">
        <v>53</v>
      </c>
      <c r="F463" s="3">
        <f t="shared" ref="F463:F470" si="62">IF(E463="Happy", 1,2)</f>
        <v>2</v>
      </c>
      <c r="G463" s="11"/>
      <c r="H463" s="3" t="s">
        <v>76</v>
      </c>
      <c r="I463" s="3">
        <f t="shared" si="59"/>
        <v>2</v>
      </c>
      <c r="J463" s="3" t="s">
        <v>95</v>
      </c>
      <c r="K463" s="3">
        <v>9</v>
      </c>
      <c r="L463" s="6" t="s">
        <v>146</v>
      </c>
      <c r="M463" s="3">
        <v>-89</v>
      </c>
      <c r="N463" s="3">
        <f t="shared" si="60"/>
        <v>-0.89</v>
      </c>
      <c r="O463" s="3">
        <v>-40</v>
      </c>
      <c r="P463" s="3">
        <v>-0.4</v>
      </c>
      <c r="Q463" s="17">
        <v>0.1</v>
      </c>
      <c r="R463" s="21">
        <v>0.1414213562373095</v>
      </c>
      <c r="S463" s="3">
        <v>15</v>
      </c>
      <c r="T463" s="3">
        <v>268.85000000000002</v>
      </c>
      <c r="U463" s="3">
        <v>285.04000000000002</v>
      </c>
      <c r="V463" s="26">
        <v>-0.43718043620263197</v>
      </c>
      <c r="W463" s="18">
        <v>-1.23135486468845</v>
      </c>
      <c r="X463" s="18">
        <v>-0.34461885003746801</v>
      </c>
      <c r="Y463" s="18">
        <v>-0.80777664263027205</v>
      </c>
      <c r="Z463" s="18">
        <v>-2.0161211938715602</v>
      </c>
      <c r="AA463" s="18">
        <v>-2.0413512357697901</v>
      </c>
      <c r="AB463" s="18">
        <v>2.5210811103946602</v>
      </c>
      <c r="AC463" s="18">
        <v>-2.5646678509202498</v>
      </c>
      <c r="AD463" s="18">
        <v>1.6143513187518901</v>
      </c>
      <c r="AE463" s="21">
        <v>2.0440667575694702</v>
      </c>
      <c r="AF463" s="3">
        <v>28.811900000000001</v>
      </c>
      <c r="AG463" s="3">
        <v>0.35004099999999999</v>
      </c>
      <c r="AH463" s="3">
        <v>1.95967</v>
      </c>
      <c r="AI463" s="3">
        <v>0</v>
      </c>
      <c r="AJ463" s="3">
        <v>4.16085E-2</v>
      </c>
      <c r="AK463" s="3">
        <v>-0.79232999999999998</v>
      </c>
      <c r="AL463" s="3">
        <v>0</v>
      </c>
      <c r="AM463" s="3">
        <v>0</v>
      </c>
      <c r="AN463" s="3">
        <v>-0.46726499999999999</v>
      </c>
      <c r="AO463" s="3">
        <v>43.886099999999999</v>
      </c>
      <c r="AP463" s="3">
        <v>9.6965300000000004E-2</v>
      </c>
      <c r="AQ463" s="3">
        <v>0.74516800000000005</v>
      </c>
      <c r="AR463" s="3">
        <v>36.980200000000004</v>
      </c>
      <c r="AS463" s="3">
        <v>6.96523E-2</v>
      </c>
      <c r="AT463" s="3">
        <v>0.72488399999999997</v>
      </c>
      <c r="AU463" s="3">
        <v>16.410900000000002</v>
      </c>
      <c r="AV463" s="3">
        <v>3.2705400000000003E-2</v>
      </c>
      <c r="AW463" s="3">
        <v>0.67590600000000001</v>
      </c>
      <c r="AX463" s="3">
        <v>0</v>
      </c>
      <c r="AY463" s="3">
        <v>0</v>
      </c>
      <c r="AZ463" s="21">
        <v>-0.54112099999999996</v>
      </c>
      <c r="BA463" s="3">
        <v>16.181999999999999</v>
      </c>
      <c r="BB463" s="3">
        <v>9</v>
      </c>
    </row>
    <row r="464" spans="1:54" s="3" customFormat="1" ht="31.5" customHeight="1" x14ac:dyDescent="0.25">
      <c r="A464" s="2">
        <v>462</v>
      </c>
      <c r="B464" s="3">
        <v>11</v>
      </c>
      <c r="C464" s="2">
        <v>2</v>
      </c>
      <c r="D464" s="9">
        <v>66</v>
      </c>
      <c r="E464" s="3" t="s">
        <v>53</v>
      </c>
      <c r="F464" s="3">
        <f t="shared" si="62"/>
        <v>2</v>
      </c>
      <c r="G464" s="11"/>
      <c r="H464" s="3" t="s">
        <v>76</v>
      </c>
      <c r="I464" s="3">
        <f t="shared" si="59"/>
        <v>2</v>
      </c>
      <c r="J464" s="3" t="s">
        <v>96</v>
      </c>
      <c r="K464" s="3">
        <v>10</v>
      </c>
      <c r="L464" s="6" t="s">
        <v>144</v>
      </c>
      <c r="M464" s="3">
        <v>-89</v>
      </c>
      <c r="N464" s="3">
        <f t="shared" si="60"/>
        <v>-0.89</v>
      </c>
      <c r="O464" s="3">
        <v>-40</v>
      </c>
      <c r="P464" s="3">
        <v>-0.4</v>
      </c>
      <c r="Q464" s="17">
        <v>-0.40611111111111109</v>
      </c>
      <c r="R464" s="21">
        <v>0.420985396069393</v>
      </c>
      <c r="S464" s="3">
        <v>17</v>
      </c>
      <c r="T464" s="3">
        <v>308.33</v>
      </c>
      <c r="U464" s="3">
        <v>330.81</v>
      </c>
      <c r="V464" s="26">
        <v>1.7560575675507899</v>
      </c>
      <c r="W464" s="18">
        <v>2.2349837798192498</v>
      </c>
      <c r="X464" s="18">
        <v>2.0043654227599101</v>
      </c>
      <c r="Y464" s="18">
        <v>-0.902354393178739</v>
      </c>
      <c r="Z464" s="18">
        <v>-1.6192478000447701</v>
      </c>
      <c r="AA464" s="18">
        <v>-1.6062039858900401</v>
      </c>
      <c r="AB464" s="18">
        <v>-0.31449071478370899</v>
      </c>
      <c r="AC464" s="18">
        <v>-0.14994395272812699</v>
      </c>
      <c r="AD464" s="18">
        <v>0.933308383481667</v>
      </c>
      <c r="AE464" s="21">
        <v>0.87649160425844896</v>
      </c>
      <c r="AF464" s="3">
        <v>0.69456799999999996</v>
      </c>
      <c r="AG464" s="3">
        <v>0.12878600000000001</v>
      </c>
      <c r="AH464" s="3">
        <v>1.5580400000000001</v>
      </c>
      <c r="AI464" s="3">
        <v>4.3811200000000001</v>
      </c>
      <c r="AJ464" s="3">
        <v>0.104078</v>
      </c>
      <c r="AK464" s="3">
        <v>2.6760700000000002</v>
      </c>
      <c r="AL464" s="3">
        <v>1.2822800000000001</v>
      </c>
      <c r="AM464" s="3">
        <v>0.109276</v>
      </c>
      <c r="AN464" s="3">
        <v>3.1904499999999998</v>
      </c>
      <c r="AO464" s="3">
        <v>11.754200000000001</v>
      </c>
      <c r="AP464" s="3">
        <v>9.4567899999999996E-2</v>
      </c>
      <c r="AQ464" s="3">
        <v>0.672427</v>
      </c>
      <c r="AR464" s="3">
        <v>0</v>
      </c>
      <c r="AS464" s="3">
        <v>0.15535099999999999</v>
      </c>
      <c r="AT464" s="3">
        <v>-0.74360700000000002</v>
      </c>
      <c r="AU464" s="3">
        <v>0.80142500000000005</v>
      </c>
      <c r="AV464" s="3">
        <v>0.22079299999999999</v>
      </c>
      <c r="AW464" s="3">
        <v>1.2244299999999999</v>
      </c>
      <c r="AX464" s="3">
        <v>4.2742699999999996</v>
      </c>
      <c r="AY464" s="3">
        <v>0.29093400000000003</v>
      </c>
      <c r="AZ464" s="21">
        <v>3.5626899999999999</v>
      </c>
      <c r="BA464" s="3">
        <v>22.48</v>
      </c>
      <c r="BB464" s="3">
        <v>10</v>
      </c>
    </row>
    <row r="465" spans="1:54" s="3" customFormat="1" ht="47.25" customHeight="1" x14ac:dyDescent="0.25">
      <c r="A465" s="2">
        <v>463</v>
      </c>
      <c r="B465" s="3">
        <v>11</v>
      </c>
      <c r="C465" s="2">
        <v>2</v>
      </c>
      <c r="D465" s="9">
        <v>66</v>
      </c>
      <c r="E465" s="3" t="s">
        <v>53</v>
      </c>
      <c r="F465" s="3">
        <f t="shared" si="62"/>
        <v>2</v>
      </c>
      <c r="G465" s="11"/>
      <c r="H465" s="3" t="s">
        <v>76</v>
      </c>
      <c r="I465" s="3">
        <f t="shared" si="59"/>
        <v>2</v>
      </c>
      <c r="J465" s="3" t="s">
        <v>99</v>
      </c>
      <c r="K465" s="3">
        <v>11</v>
      </c>
      <c r="L465" s="6" t="s">
        <v>152</v>
      </c>
      <c r="M465" s="3">
        <v>-89</v>
      </c>
      <c r="N465" s="3">
        <f t="shared" si="60"/>
        <v>-0.89</v>
      </c>
      <c r="O465" s="3">
        <v>-40</v>
      </c>
      <c r="P465" s="3">
        <v>-0.4</v>
      </c>
      <c r="Q465" s="17">
        <v>-1.0000000000000011E-2</v>
      </c>
      <c r="R465" s="21">
        <v>0.34614544149340848</v>
      </c>
      <c r="S465" s="3">
        <v>19</v>
      </c>
      <c r="T465" s="3">
        <v>351.94</v>
      </c>
      <c r="U465" s="3">
        <v>376.07</v>
      </c>
      <c r="V465" s="26">
        <v>0.426285764525133</v>
      </c>
      <c r="W465" s="18">
        <v>1.15132605206881</v>
      </c>
      <c r="X465" s="18">
        <v>0.74314016453794796</v>
      </c>
      <c r="Y465" s="18">
        <v>-0.81700282919641498</v>
      </c>
      <c r="Z465" s="18">
        <v>-0.74457963697664697</v>
      </c>
      <c r="AA465" s="18">
        <v>-0.52769101420969799</v>
      </c>
      <c r="AB465" s="18">
        <v>0.89103267880105297</v>
      </c>
      <c r="AC465" s="18">
        <v>0.74890290372422297</v>
      </c>
      <c r="AD465" s="18">
        <v>-0.22850098778528299</v>
      </c>
      <c r="AE465" s="21">
        <v>0.67084554741926095</v>
      </c>
      <c r="AF465" s="3">
        <v>1.8408</v>
      </c>
      <c r="AG465" s="3">
        <v>0.16933899999999999</v>
      </c>
      <c r="AH465" s="3">
        <v>1.7296800000000001</v>
      </c>
      <c r="AI465" s="3">
        <v>2.6368200000000002</v>
      </c>
      <c r="AJ465" s="3">
        <v>0.1046</v>
      </c>
      <c r="AK465" s="3">
        <v>2.40971</v>
      </c>
      <c r="AL465" s="3">
        <v>1.2935300000000001</v>
      </c>
      <c r="AM465" s="3">
        <v>0.17225699999999999</v>
      </c>
      <c r="AN465" s="3">
        <v>3.7673700000000001</v>
      </c>
      <c r="AO465" s="3">
        <v>11.592000000000001</v>
      </c>
      <c r="AP465" s="3">
        <v>0.24607499999999999</v>
      </c>
      <c r="AQ465" s="3">
        <v>0.93847800000000003</v>
      </c>
      <c r="AR465" s="3">
        <v>7.4626900000000003</v>
      </c>
      <c r="AS465" s="3">
        <v>0.175568</v>
      </c>
      <c r="AT465" s="3">
        <v>1.02027</v>
      </c>
      <c r="AU465" s="3">
        <v>4.2288600000000001</v>
      </c>
      <c r="AV465" s="3">
        <v>4.7056199999999999E-2</v>
      </c>
      <c r="AW465" s="3">
        <v>0.70219500000000001</v>
      </c>
      <c r="AX465" s="3">
        <v>2.6865700000000001</v>
      </c>
      <c r="AY465" s="3">
        <v>0.16412399999999999</v>
      </c>
      <c r="AZ465" s="21">
        <v>2.9900199999999999</v>
      </c>
      <c r="BA465" s="3">
        <v>24.132000000000001</v>
      </c>
      <c r="BB465" s="3">
        <v>11</v>
      </c>
    </row>
    <row r="466" spans="1:54" s="3" customFormat="1" ht="63" customHeight="1" x14ac:dyDescent="0.25">
      <c r="A466" s="2">
        <v>464</v>
      </c>
      <c r="B466" s="3">
        <v>11</v>
      </c>
      <c r="C466" s="2">
        <v>2</v>
      </c>
      <c r="D466" s="9">
        <v>66</v>
      </c>
      <c r="E466" s="3" t="s">
        <v>53</v>
      </c>
      <c r="F466" s="3">
        <f t="shared" si="62"/>
        <v>2</v>
      </c>
      <c r="G466" s="11"/>
      <c r="H466" s="3" t="s">
        <v>76</v>
      </c>
      <c r="I466" s="3">
        <f t="shared" si="59"/>
        <v>2</v>
      </c>
      <c r="J466" s="3" t="s">
        <v>100</v>
      </c>
      <c r="K466" s="3">
        <v>12</v>
      </c>
      <c r="L466" s="6" t="s">
        <v>158</v>
      </c>
      <c r="M466" s="3">
        <v>-89</v>
      </c>
      <c r="N466" s="3">
        <f t="shared" si="60"/>
        <v>-0.89</v>
      </c>
      <c r="O466" s="3">
        <v>-40</v>
      </c>
      <c r="P466" s="3">
        <v>-0.4</v>
      </c>
      <c r="Q466" s="17">
        <v>0.40433333333333332</v>
      </c>
      <c r="R466" s="21">
        <v>0.37637820813053929</v>
      </c>
      <c r="S466" s="3">
        <v>22</v>
      </c>
      <c r="T466" s="3">
        <v>399.34</v>
      </c>
      <c r="U466" s="3">
        <v>422.22</v>
      </c>
      <c r="V466" s="26">
        <v>-0.154971410600445</v>
      </c>
      <c r="W466" s="18">
        <v>-0.85387716943770897</v>
      </c>
      <c r="X466" s="18">
        <v>-0.32365906287373603</v>
      </c>
      <c r="Y466" s="18">
        <v>3.72855626232966</v>
      </c>
      <c r="Z466" s="18">
        <v>1.2845070396232301</v>
      </c>
      <c r="AA466" s="18">
        <v>1.8334859432374699</v>
      </c>
      <c r="AB466" s="18">
        <v>2.58321665090841</v>
      </c>
      <c r="AC466" s="18">
        <v>0.203068509046888</v>
      </c>
      <c r="AD466" s="18">
        <v>-6.4217697623835904E-2</v>
      </c>
      <c r="AE466" s="21">
        <v>-0.64955946234055495</v>
      </c>
      <c r="AF466" s="3">
        <v>16.9177</v>
      </c>
      <c r="AG466" s="3">
        <v>0.35102299999999997</v>
      </c>
      <c r="AH466" s="3">
        <v>2.1074999999999999</v>
      </c>
      <c r="AI466" s="3">
        <v>2.52189</v>
      </c>
      <c r="AJ466" s="3">
        <v>0.37341600000000003</v>
      </c>
      <c r="AK466" s="3">
        <v>3.3303099999999999</v>
      </c>
      <c r="AL466" s="3">
        <v>0</v>
      </c>
      <c r="AM466" s="3">
        <v>0</v>
      </c>
      <c r="AN466" s="3">
        <v>-0.46726499999999999</v>
      </c>
      <c r="AO466" s="3">
        <v>10.7706</v>
      </c>
      <c r="AP466" s="3">
        <v>0.181144</v>
      </c>
      <c r="AQ466" s="3">
        <v>1.06111</v>
      </c>
      <c r="AR466" s="3">
        <v>6.7250399999999999</v>
      </c>
      <c r="AS466" s="3">
        <v>7.6550599999999996E-2</v>
      </c>
      <c r="AT466" s="3">
        <v>0.85122600000000004</v>
      </c>
      <c r="AU466" s="3">
        <v>5.2539400000000001</v>
      </c>
      <c r="AV466" s="3">
        <v>0.200271</v>
      </c>
      <c r="AW466" s="3">
        <v>1.4571499999999999</v>
      </c>
      <c r="AX466" s="3">
        <v>0.36777599999999999</v>
      </c>
      <c r="AY466" s="3">
        <v>0.29859200000000002</v>
      </c>
      <c r="AZ466" s="21">
        <v>3.7540900000000001</v>
      </c>
      <c r="BA466" s="3">
        <v>22.879000000000001</v>
      </c>
      <c r="BB466" s="3">
        <v>12</v>
      </c>
    </row>
    <row r="467" spans="1:54" s="3" customFormat="1" ht="47.25" customHeight="1" x14ac:dyDescent="0.25">
      <c r="A467" s="2">
        <v>465</v>
      </c>
      <c r="B467" s="3">
        <v>11</v>
      </c>
      <c r="C467" s="2">
        <v>2</v>
      </c>
      <c r="D467" s="9">
        <v>66</v>
      </c>
      <c r="E467" s="3" t="s">
        <v>53</v>
      </c>
      <c r="F467" s="3">
        <f t="shared" si="62"/>
        <v>2</v>
      </c>
      <c r="G467" s="11" t="s">
        <v>84</v>
      </c>
      <c r="H467" s="3" t="s">
        <v>84</v>
      </c>
      <c r="I467" s="3">
        <f t="shared" si="59"/>
        <v>3</v>
      </c>
      <c r="J467" s="3" t="s">
        <v>85</v>
      </c>
      <c r="K467" s="3">
        <v>1</v>
      </c>
      <c r="L467" s="6" t="s">
        <v>152</v>
      </c>
      <c r="M467" s="3">
        <v>-65</v>
      </c>
      <c r="N467" s="3">
        <f t="shared" si="60"/>
        <v>-0.65</v>
      </c>
      <c r="O467" s="3">
        <v>-62</v>
      </c>
      <c r="P467" s="3">
        <v>-0.62</v>
      </c>
      <c r="Q467" s="17">
        <v>-0.28708333333333341</v>
      </c>
      <c r="R467" s="21">
        <v>0.1763328869979649</v>
      </c>
      <c r="S467" s="3">
        <v>2</v>
      </c>
      <c r="T467" s="3">
        <v>21.76</v>
      </c>
      <c r="U467" s="3">
        <v>46.24</v>
      </c>
      <c r="V467" s="26">
        <v>-0.63800435505809105</v>
      </c>
      <c r="W467" s="18">
        <v>-0.54752407816817505</v>
      </c>
      <c r="X467" s="18">
        <v>-3.0589288350364001E-2</v>
      </c>
      <c r="Y467" s="18">
        <v>-2.0276503303916602</v>
      </c>
      <c r="Z467" s="18">
        <v>-0.49677193470298903</v>
      </c>
      <c r="AA467" s="18">
        <v>-0.66014866281570095</v>
      </c>
      <c r="AB467" s="18">
        <v>-1.696007872162E-2</v>
      </c>
      <c r="AC467" s="18">
        <v>-1.5956140342829499</v>
      </c>
      <c r="AD467" s="18">
        <v>-0.36450389935868799</v>
      </c>
      <c r="AE467" s="21">
        <v>1.5496172219998401</v>
      </c>
      <c r="AF467" s="3">
        <v>19.231400000000001</v>
      </c>
      <c r="AG467" s="3">
        <v>0.40473900000000002</v>
      </c>
      <c r="AH467" s="3">
        <v>1.9533199999999999</v>
      </c>
      <c r="AI467" s="3">
        <v>0.29435800000000001</v>
      </c>
      <c r="AJ467" s="3">
        <v>6.6231899999999996E-2</v>
      </c>
      <c r="AK467" s="3">
        <v>2.4336500000000001</v>
      </c>
      <c r="AL467" s="3">
        <v>0</v>
      </c>
      <c r="AM467" s="3">
        <v>0.153058</v>
      </c>
      <c r="AN467" s="3">
        <v>1.58839</v>
      </c>
      <c r="AO467" s="3">
        <v>16.729399999999998</v>
      </c>
      <c r="AP467" s="3">
        <v>9.9928299999999998E-2</v>
      </c>
      <c r="AQ467" s="3">
        <v>0.53725500000000004</v>
      </c>
      <c r="AR467" s="3">
        <v>18.789899999999999</v>
      </c>
      <c r="AS467" s="3">
        <v>4.1974999999999998E-2</v>
      </c>
      <c r="AT467" s="3">
        <v>0.53705199999999997</v>
      </c>
      <c r="AU467" s="3">
        <v>8.8307400000000005</v>
      </c>
      <c r="AV467" s="3">
        <v>0.16994000000000001</v>
      </c>
      <c r="AW467" s="3">
        <v>0.88054699999999997</v>
      </c>
      <c r="AX467" s="3">
        <v>0</v>
      </c>
      <c r="AY467" s="3">
        <v>0.17557300000000001</v>
      </c>
      <c r="AZ467" s="21">
        <v>-0.27366699999999999</v>
      </c>
      <c r="BA467" s="3">
        <v>24.481999999999999</v>
      </c>
      <c r="BB467" s="3">
        <v>1</v>
      </c>
    </row>
    <row r="468" spans="1:54" s="3" customFormat="1" ht="47.25" customHeight="1" x14ac:dyDescent="0.25">
      <c r="A468" s="2">
        <v>466</v>
      </c>
      <c r="B468" s="3">
        <v>11</v>
      </c>
      <c r="C468" s="2">
        <v>2</v>
      </c>
      <c r="D468" s="9">
        <v>66</v>
      </c>
      <c r="E468" s="3" t="s">
        <v>53</v>
      </c>
      <c r="F468" s="3">
        <f t="shared" si="62"/>
        <v>2</v>
      </c>
      <c r="G468" s="11"/>
      <c r="H468" s="3" t="s">
        <v>84</v>
      </c>
      <c r="I468" s="3">
        <f t="shared" si="59"/>
        <v>3</v>
      </c>
      <c r="J468" s="3" t="s">
        <v>86</v>
      </c>
      <c r="K468" s="3">
        <v>2</v>
      </c>
      <c r="L468" s="6" t="s">
        <v>174</v>
      </c>
      <c r="M468" s="3">
        <v>-65</v>
      </c>
      <c r="N468" s="3">
        <f t="shared" si="60"/>
        <v>-0.65</v>
      </c>
      <c r="O468" s="3">
        <v>-62</v>
      </c>
      <c r="P468" s="3">
        <v>-0.62</v>
      </c>
      <c r="Q468" s="17">
        <v>-7.5000000000000011E-2</v>
      </c>
      <c r="R468" s="21">
        <v>0</v>
      </c>
      <c r="S468" s="3">
        <v>4</v>
      </c>
      <c r="T468" s="3">
        <v>54.07</v>
      </c>
      <c r="U468" s="3">
        <v>70.760000000000005</v>
      </c>
      <c r="V468" s="26">
        <v>-0.82009684445923703</v>
      </c>
      <c r="W468" s="18">
        <v>0.146124603789833</v>
      </c>
      <c r="X468" s="18">
        <v>-1.1447402670875999</v>
      </c>
      <c r="Y468" s="18">
        <v>-1.03350071315333</v>
      </c>
      <c r="Z468" s="18">
        <v>-1.4482145328943401</v>
      </c>
      <c r="AA468" s="18">
        <v>-1.09646309624792</v>
      </c>
      <c r="AB468" s="18">
        <v>1.8092300641360599</v>
      </c>
      <c r="AC468" s="18">
        <v>-0.11368683713965801</v>
      </c>
      <c r="AD468" s="18">
        <v>-0.52673043471373304</v>
      </c>
      <c r="AE468" s="21">
        <v>0.57083189136085799</v>
      </c>
      <c r="AF468" s="3">
        <v>1.58273</v>
      </c>
      <c r="AG468" s="3">
        <v>0.158167</v>
      </c>
      <c r="AH468" s="3">
        <v>1.47648</v>
      </c>
      <c r="AI468" s="3">
        <v>0</v>
      </c>
      <c r="AJ468" s="3">
        <v>0</v>
      </c>
      <c r="AK468" s="3">
        <v>-0.90209700000000004</v>
      </c>
      <c r="AL468" s="3">
        <v>5.4676299999999998</v>
      </c>
      <c r="AM468" s="3">
        <v>9.5638200000000007E-2</v>
      </c>
      <c r="AN468" s="3">
        <v>3.6187200000000002</v>
      </c>
      <c r="AO468" s="3">
        <v>25.5396</v>
      </c>
      <c r="AP468" s="3">
        <v>0.121194</v>
      </c>
      <c r="AQ468" s="3">
        <v>0.55267900000000003</v>
      </c>
      <c r="AR468" s="3">
        <v>5.8273400000000004</v>
      </c>
      <c r="AS468" s="3">
        <v>0.12415900000000001</v>
      </c>
      <c r="AT468" s="3">
        <v>0.901756</v>
      </c>
      <c r="AU468" s="3">
        <v>17.625900000000001</v>
      </c>
      <c r="AV468" s="3">
        <v>5.3851599999999999E-2</v>
      </c>
      <c r="AW468" s="3">
        <v>0.51332699999999998</v>
      </c>
      <c r="AX468" s="3">
        <v>4.6762600000000001</v>
      </c>
      <c r="AY468" s="3">
        <v>0.12407799999999999</v>
      </c>
      <c r="AZ468" s="21">
        <v>3.2251599999999998</v>
      </c>
      <c r="BA468" s="3">
        <v>16.687000000000001</v>
      </c>
      <c r="BB468" s="3">
        <v>2</v>
      </c>
    </row>
    <row r="469" spans="1:54" s="3" customFormat="1" ht="63" customHeight="1" x14ac:dyDescent="0.25">
      <c r="A469" s="2">
        <v>467</v>
      </c>
      <c r="B469" s="3">
        <v>11</v>
      </c>
      <c r="C469" s="2">
        <v>2</v>
      </c>
      <c r="D469" s="9">
        <v>66</v>
      </c>
      <c r="E469" s="3" t="s">
        <v>53</v>
      </c>
      <c r="F469" s="3">
        <f t="shared" si="62"/>
        <v>2</v>
      </c>
      <c r="G469" s="11"/>
      <c r="H469" s="3" t="s">
        <v>84</v>
      </c>
      <c r="I469" s="3">
        <f t="shared" si="59"/>
        <v>3</v>
      </c>
      <c r="J469" s="3" t="s">
        <v>87</v>
      </c>
      <c r="K469" s="3">
        <v>3</v>
      </c>
      <c r="L469" s="6" t="s">
        <v>223</v>
      </c>
      <c r="M469" s="3">
        <v>-65</v>
      </c>
      <c r="N469" s="3">
        <f t="shared" si="60"/>
        <v>-0.65</v>
      </c>
      <c r="O469" s="3">
        <v>-62</v>
      </c>
      <c r="P469" s="3">
        <v>-0.62</v>
      </c>
      <c r="Q469" s="17">
        <v>9.4642857142857154E-2</v>
      </c>
      <c r="R469" s="21">
        <v>0.2904188565587606</v>
      </c>
      <c r="S469" s="3">
        <v>5</v>
      </c>
      <c r="T469" s="3">
        <v>70.760000000000005</v>
      </c>
      <c r="U469" s="3">
        <v>97.52</v>
      </c>
      <c r="V469" s="26">
        <v>-0.30946178933510898</v>
      </c>
      <c r="W469" s="18">
        <v>-0.89666421272728503</v>
      </c>
      <c r="X469" s="18">
        <v>-0.81107070771868806</v>
      </c>
      <c r="Y469" s="18">
        <v>0.99592415455944405</v>
      </c>
      <c r="Z469" s="18">
        <v>0.41611532672575402</v>
      </c>
      <c r="AA469" s="18">
        <v>0.60964093467539704</v>
      </c>
      <c r="AB469" s="18">
        <v>-0.23219633895969699</v>
      </c>
      <c r="AC469" s="18">
        <v>-1.38861886528696</v>
      </c>
      <c r="AD469" s="18">
        <v>-0.22875808213608401</v>
      </c>
      <c r="AE469" s="21">
        <v>-1.7025122233149801</v>
      </c>
      <c r="AF469" s="3">
        <v>19.386700000000001</v>
      </c>
      <c r="AG469" s="3">
        <v>0.10119300000000001</v>
      </c>
      <c r="AH469" s="3">
        <v>1.21417</v>
      </c>
      <c r="AI469" s="3">
        <v>0.98728499999999997</v>
      </c>
      <c r="AJ469" s="3">
        <v>7.4944399999999994E-2</v>
      </c>
      <c r="AK469" s="3">
        <v>2.4030800000000001</v>
      </c>
      <c r="AL469" s="3">
        <v>3.7247599999999998</v>
      </c>
      <c r="AM469" s="3">
        <v>0.177869</v>
      </c>
      <c r="AN469" s="3">
        <v>3.6594899999999999</v>
      </c>
      <c r="AO469" s="3">
        <v>26.3874</v>
      </c>
      <c r="AP469" s="3">
        <v>9.6381999999999995E-2</v>
      </c>
      <c r="AQ469" s="3">
        <v>0.84755599999999998</v>
      </c>
      <c r="AR469" s="3">
        <v>31.054600000000001</v>
      </c>
      <c r="AS469" s="3">
        <v>0.100013</v>
      </c>
      <c r="AT469" s="3">
        <v>0.70943900000000004</v>
      </c>
      <c r="AU469" s="3">
        <v>16.828700000000001</v>
      </c>
      <c r="AV469" s="3">
        <v>0.284881</v>
      </c>
      <c r="AW469" s="3">
        <v>1.68649</v>
      </c>
      <c r="AX469" s="3">
        <v>0.62827200000000005</v>
      </c>
      <c r="AY469" s="3">
        <v>1.0379499999999999</v>
      </c>
      <c r="AZ469" s="21">
        <v>6.3079400000000003</v>
      </c>
      <c r="BA469" s="3">
        <v>26.760999999999999</v>
      </c>
      <c r="BB469" s="3">
        <v>3</v>
      </c>
    </row>
    <row r="470" spans="1:54" s="3" customFormat="1" ht="63" customHeight="1" x14ac:dyDescent="0.25">
      <c r="A470" s="2">
        <v>468</v>
      </c>
      <c r="B470" s="3">
        <v>11</v>
      </c>
      <c r="C470" s="2">
        <v>2</v>
      </c>
      <c r="D470" s="9">
        <v>66</v>
      </c>
      <c r="E470" s="3" t="s">
        <v>53</v>
      </c>
      <c r="F470" s="3">
        <f t="shared" si="62"/>
        <v>2</v>
      </c>
      <c r="G470" s="11"/>
      <c r="H470" s="3" t="s">
        <v>84</v>
      </c>
      <c r="I470" s="3">
        <f t="shared" si="59"/>
        <v>3</v>
      </c>
      <c r="J470" s="3" t="s">
        <v>88</v>
      </c>
      <c r="K470" s="3">
        <v>4</v>
      </c>
      <c r="L470" s="6" t="s">
        <v>148</v>
      </c>
      <c r="M470" s="3">
        <v>-65</v>
      </c>
      <c r="N470" s="3">
        <f t="shared" si="60"/>
        <v>-0.65</v>
      </c>
      <c r="O470" s="3">
        <v>-62</v>
      </c>
      <c r="P470" s="3">
        <v>-0.62</v>
      </c>
      <c r="Q470" s="17">
        <v>0.36416666666666669</v>
      </c>
      <c r="R470" s="21">
        <v>0.17321710846988139</v>
      </c>
      <c r="S470" s="3">
        <v>6</v>
      </c>
      <c r="T470" s="3">
        <v>97.52</v>
      </c>
      <c r="U470" s="3">
        <v>122.35</v>
      </c>
      <c r="V470" s="26">
        <v>0.41920359149615599</v>
      </c>
      <c r="W470" s="18">
        <v>1.69590178798277</v>
      </c>
      <c r="X470" s="18">
        <v>-9.9929880087873998E-2</v>
      </c>
      <c r="Y470" s="18">
        <v>0.573910163368066</v>
      </c>
      <c r="Z470" s="18">
        <v>6.6539468113569603E-2</v>
      </c>
      <c r="AA470" s="18">
        <v>-0.33485814366231798</v>
      </c>
      <c r="AB470" s="18">
        <v>8.2071628768988804E-3</v>
      </c>
      <c r="AC470" s="18">
        <v>-0.49933070294429699</v>
      </c>
      <c r="AD470" s="18">
        <v>-0.369131597673095</v>
      </c>
      <c r="AE470" s="21">
        <v>-1.21817642824563</v>
      </c>
      <c r="AF470" s="3">
        <v>26.661300000000001</v>
      </c>
      <c r="AG470" s="3">
        <v>0.342941</v>
      </c>
      <c r="AH470" s="3">
        <v>1.5324199999999999</v>
      </c>
      <c r="AI470" s="3">
        <v>3.24194</v>
      </c>
      <c r="AJ470" s="3">
        <v>0.113959</v>
      </c>
      <c r="AK470" s="3">
        <v>2.7189899999999998</v>
      </c>
      <c r="AL470" s="3">
        <v>0.38709700000000002</v>
      </c>
      <c r="AM470" s="3">
        <v>0.200909</v>
      </c>
      <c r="AN470" s="3">
        <v>4.00807</v>
      </c>
      <c r="AO470" s="3">
        <v>24.290299999999998</v>
      </c>
      <c r="AP470" s="3">
        <v>0.39687699999999998</v>
      </c>
      <c r="AQ470" s="3">
        <v>1.30389</v>
      </c>
      <c r="AR470" s="3">
        <v>13.9839</v>
      </c>
      <c r="AS470" s="3">
        <v>0.423402</v>
      </c>
      <c r="AT470" s="3">
        <v>1.7690300000000001</v>
      </c>
      <c r="AU470" s="3">
        <v>4.4032299999999998</v>
      </c>
      <c r="AV470" s="3">
        <v>0.223999</v>
      </c>
      <c r="AW470" s="3">
        <v>1.1043000000000001</v>
      </c>
      <c r="AX470" s="3">
        <v>4.0161300000000004</v>
      </c>
      <c r="AY470" s="3">
        <v>0.55587600000000004</v>
      </c>
      <c r="AZ470" s="21">
        <v>4.3758699999999999</v>
      </c>
      <c r="BA470" s="3">
        <v>24.83</v>
      </c>
      <c r="BB470" s="3">
        <v>4</v>
      </c>
    </row>
    <row r="471" spans="1:54" s="3" customFormat="1" ht="63" customHeight="1" x14ac:dyDescent="0.25">
      <c r="A471" s="2">
        <v>469</v>
      </c>
      <c r="B471" s="3">
        <v>11</v>
      </c>
      <c r="C471" s="2">
        <v>2</v>
      </c>
      <c r="D471" s="9">
        <v>66</v>
      </c>
      <c r="E471" s="3" t="s">
        <v>53</v>
      </c>
      <c r="F471" s="3">
        <f>IF(E472="Happy", 1,2)</f>
        <v>2</v>
      </c>
      <c r="G471" s="11"/>
      <c r="H471" s="3" t="s">
        <v>84</v>
      </c>
      <c r="I471" s="3">
        <f t="shared" si="59"/>
        <v>3</v>
      </c>
      <c r="J471" s="3" t="s">
        <v>89</v>
      </c>
      <c r="K471" s="3">
        <v>5</v>
      </c>
      <c r="L471" s="6" t="s">
        <v>153</v>
      </c>
      <c r="M471" s="3">
        <v>-65</v>
      </c>
      <c r="N471" s="3">
        <f t="shared" si="60"/>
        <v>-0.65</v>
      </c>
      <c r="O471" s="3">
        <v>-62</v>
      </c>
      <c r="P471" s="3">
        <v>-0.62</v>
      </c>
      <c r="Q471" s="17">
        <v>0.12083333333333331</v>
      </c>
      <c r="R471" s="21">
        <v>0.59934860473684259</v>
      </c>
      <c r="S471" s="3">
        <v>7</v>
      </c>
      <c r="T471" s="3">
        <v>122.35</v>
      </c>
      <c r="U471" s="3">
        <v>148.37</v>
      </c>
      <c r="V471" s="26">
        <v>-0.48345010103116998</v>
      </c>
      <c r="W471" s="18">
        <v>-0.227790846213584</v>
      </c>
      <c r="X471" s="18">
        <v>-0.61024465429024</v>
      </c>
      <c r="Y471" s="18">
        <v>-1.2867831642149601E-2</v>
      </c>
      <c r="Z471" s="18">
        <v>0.89278930129376399</v>
      </c>
      <c r="AA471" s="18">
        <v>0.47081683032865002</v>
      </c>
      <c r="AB471" s="18">
        <v>0.161245277522616</v>
      </c>
      <c r="AC471" s="18">
        <v>1.3929611206321399</v>
      </c>
      <c r="AD471" s="18">
        <v>-1.0368056267017001</v>
      </c>
      <c r="AE471" s="21">
        <v>-0.39559220088887997</v>
      </c>
      <c r="AF471" s="3">
        <v>5.2615400000000001</v>
      </c>
      <c r="AG471" s="3">
        <v>0.109501</v>
      </c>
      <c r="AH471" s="3">
        <v>1.36039</v>
      </c>
      <c r="AI471" s="3">
        <v>0</v>
      </c>
      <c r="AJ471" s="3">
        <v>0</v>
      </c>
      <c r="AK471" s="3">
        <v>-0.90209700000000004</v>
      </c>
      <c r="AL471" s="3">
        <v>4.4307699999999999</v>
      </c>
      <c r="AM471" s="3">
        <v>0.23910999999999999</v>
      </c>
      <c r="AN471" s="3">
        <v>4.3415400000000002</v>
      </c>
      <c r="AO471" s="3">
        <v>17.123100000000001</v>
      </c>
      <c r="AP471" s="3">
        <v>0.54276199999999997</v>
      </c>
      <c r="AQ471" s="3">
        <v>1.6637299999999999</v>
      </c>
      <c r="AR471" s="3">
        <v>24.092300000000002</v>
      </c>
      <c r="AS471" s="3">
        <v>0.106073</v>
      </c>
      <c r="AT471" s="3">
        <v>0.95246399999999998</v>
      </c>
      <c r="AU471" s="3">
        <v>3.4615399999999998</v>
      </c>
      <c r="AV471" s="3">
        <v>6.4087000000000005E-2</v>
      </c>
      <c r="AW471" s="3">
        <v>0.64019999999999999</v>
      </c>
      <c r="AX471" s="3">
        <v>1.8</v>
      </c>
      <c r="AY471" s="3">
        <v>0.22956099999999999</v>
      </c>
      <c r="AZ471" s="21">
        <v>4.4282399999999997</v>
      </c>
      <c r="BA471" s="3">
        <v>26.02</v>
      </c>
      <c r="BB471" s="3">
        <v>5</v>
      </c>
    </row>
    <row r="472" spans="1:54" s="3" customFormat="1" ht="47.25" customHeight="1" x14ac:dyDescent="0.25">
      <c r="A472" s="2">
        <v>470</v>
      </c>
      <c r="B472" s="3">
        <v>11</v>
      </c>
      <c r="C472" s="2">
        <v>2</v>
      </c>
      <c r="D472" s="9">
        <v>66</v>
      </c>
      <c r="E472" s="3" t="s">
        <v>53</v>
      </c>
      <c r="F472" s="3">
        <f>IF(E473="Happy", 1,2)</f>
        <v>2</v>
      </c>
      <c r="G472" s="11"/>
      <c r="H472" s="3" t="s">
        <v>84</v>
      </c>
      <c r="I472" s="3">
        <f t="shared" si="59"/>
        <v>3</v>
      </c>
      <c r="J472" s="3" t="s">
        <v>90</v>
      </c>
      <c r="K472" s="3">
        <v>6</v>
      </c>
      <c r="L472" s="6" t="s">
        <v>146</v>
      </c>
      <c r="M472" s="3">
        <v>-65</v>
      </c>
      <c r="N472" s="3">
        <f t="shared" si="60"/>
        <v>-0.65</v>
      </c>
      <c r="O472" s="3">
        <v>-62</v>
      </c>
      <c r="P472" s="3">
        <v>-0.62</v>
      </c>
      <c r="Q472" s="17">
        <v>0.17916666666666661</v>
      </c>
      <c r="R472" s="21">
        <v>0.21229565338094991</v>
      </c>
      <c r="S472" s="3">
        <v>9</v>
      </c>
      <c r="T472" s="3">
        <v>159.41999999999999</v>
      </c>
      <c r="U472" s="3">
        <v>175.81</v>
      </c>
      <c r="V472" s="26">
        <v>0.85249365210879902</v>
      </c>
      <c r="W472" s="18">
        <v>0.67103113189354502</v>
      </c>
      <c r="X472" s="18">
        <v>1.3703882868392001</v>
      </c>
      <c r="Y472" s="18">
        <v>-0.84662374396139495</v>
      </c>
      <c r="Z472" s="18">
        <v>0.17458407462275299</v>
      </c>
      <c r="AA472" s="18">
        <v>3.0753261849102001E-2</v>
      </c>
      <c r="AB472" s="18">
        <v>-1.4393270498885899E-2</v>
      </c>
      <c r="AC472" s="18">
        <v>0.99182557816697403</v>
      </c>
      <c r="AD472" s="18">
        <v>-1.07871200588216</v>
      </c>
      <c r="AE472" s="21">
        <v>-0.75182061628791097</v>
      </c>
      <c r="AF472" s="3">
        <v>0.51282099999999997</v>
      </c>
      <c r="AG472" s="3">
        <v>0.15734400000000001</v>
      </c>
      <c r="AH472" s="3">
        <v>1.2770600000000001</v>
      </c>
      <c r="AI472" s="3">
        <v>10.842499999999999</v>
      </c>
      <c r="AJ472" s="3">
        <v>5.0744499999999998E-2</v>
      </c>
      <c r="AK472" s="3">
        <v>2.4676200000000001</v>
      </c>
      <c r="AL472" s="3">
        <v>1.9780199999999999</v>
      </c>
      <c r="AM472" s="3">
        <v>0.18221200000000001</v>
      </c>
      <c r="AN472" s="3">
        <v>3.9114499999999999</v>
      </c>
      <c r="AO472" s="3">
        <v>15.384600000000001</v>
      </c>
      <c r="AP472" s="3">
        <v>0.16126799999999999</v>
      </c>
      <c r="AQ472" s="3">
        <v>0.905725</v>
      </c>
      <c r="AR472" s="3">
        <v>4.9084199999999996</v>
      </c>
      <c r="AS472" s="3">
        <v>4.9159599999999998E-2</v>
      </c>
      <c r="AT472" s="3">
        <v>0.63117599999999996</v>
      </c>
      <c r="AU472" s="3">
        <v>4.1758199999999999</v>
      </c>
      <c r="AV472" s="3">
        <v>0.14033999999999999</v>
      </c>
      <c r="AW472" s="3">
        <v>0.90657699999999997</v>
      </c>
      <c r="AX472" s="3">
        <v>2.6373600000000001</v>
      </c>
      <c r="AY472" s="3">
        <v>0.147121</v>
      </c>
      <c r="AZ472" s="21">
        <v>3.9556100000000001</v>
      </c>
      <c r="BA472" s="3">
        <v>16.399000000000001</v>
      </c>
      <c r="BB472" s="3">
        <v>6</v>
      </c>
    </row>
    <row r="473" spans="1:54" s="3" customFormat="1" ht="47.25" customHeight="1" x14ac:dyDescent="0.25">
      <c r="A473" s="2">
        <v>471</v>
      </c>
      <c r="B473" s="3">
        <v>11</v>
      </c>
      <c r="C473" s="2">
        <v>2</v>
      </c>
      <c r="D473" s="9">
        <v>66</v>
      </c>
      <c r="E473" s="3" t="s">
        <v>53</v>
      </c>
      <c r="F473" s="3">
        <f t="shared" ref="F473:F480" si="63">IF(E473="Happy", 1,2)</f>
        <v>2</v>
      </c>
      <c r="G473" s="11"/>
      <c r="H473" s="3" t="s">
        <v>84</v>
      </c>
      <c r="I473" s="3">
        <f t="shared" si="59"/>
        <v>3</v>
      </c>
      <c r="J473" s="3" t="s">
        <v>91</v>
      </c>
      <c r="K473" s="3">
        <v>7</v>
      </c>
      <c r="L473" s="6" t="s">
        <v>146</v>
      </c>
      <c r="M473" s="3">
        <v>-65</v>
      </c>
      <c r="N473" s="3">
        <f t="shared" si="60"/>
        <v>-0.65</v>
      </c>
      <c r="O473" s="3">
        <v>-62</v>
      </c>
      <c r="P473" s="3">
        <v>-0.62</v>
      </c>
      <c r="Q473" s="17">
        <v>0.12611111111111109</v>
      </c>
      <c r="R473" s="21">
        <v>0.11780791019156441</v>
      </c>
      <c r="S473" s="3">
        <v>10</v>
      </c>
      <c r="T473" s="3">
        <v>175.81</v>
      </c>
      <c r="U473" s="3">
        <v>191.36</v>
      </c>
      <c r="V473" s="26">
        <v>-0.45507350244607497</v>
      </c>
      <c r="W473" s="18">
        <v>-0.39550375847672198</v>
      </c>
      <c r="X473" s="18">
        <v>-0.74585397992761104</v>
      </c>
      <c r="Y473" s="18">
        <v>0.74196122960722599</v>
      </c>
      <c r="Z473" s="18">
        <v>1.3442453957118099</v>
      </c>
      <c r="AA473" s="18">
        <v>1.39547378827438</v>
      </c>
      <c r="AB473" s="18">
        <v>-1.4710256343614001</v>
      </c>
      <c r="AC473" s="18">
        <v>0.282834163341523</v>
      </c>
      <c r="AD473" s="18">
        <v>-2.3060804366032102</v>
      </c>
      <c r="AE473" s="21">
        <v>-2.1227943285491699</v>
      </c>
      <c r="AF473" s="3">
        <v>16.005199999999999</v>
      </c>
      <c r="AG473" s="3">
        <v>0.53231200000000001</v>
      </c>
      <c r="AH473" s="3">
        <v>2.25962</v>
      </c>
      <c r="AI473" s="3">
        <v>13.298999999999999</v>
      </c>
      <c r="AJ473" s="3">
        <v>0.15318799999999999</v>
      </c>
      <c r="AK473" s="3">
        <v>2.6510500000000001</v>
      </c>
      <c r="AL473" s="3">
        <v>0</v>
      </c>
      <c r="AM473" s="3">
        <v>4.0824800000000003E-3</v>
      </c>
      <c r="AN473" s="3">
        <v>-0.47048400000000001</v>
      </c>
      <c r="AO473" s="3">
        <v>12.6031</v>
      </c>
      <c r="AP473" s="3">
        <v>0.26275300000000001</v>
      </c>
      <c r="AQ473" s="3">
        <v>1.4600500000000001</v>
      </c>
      <c r="AR473" s="3">
        <v>6.0309299999999997</v>
      </c>
      <c r="AS473" s="3">
        <v>0.36230099999999998</v>
      </c>
      <c r="AT473" s="3">
        <v>1.56514</v>
      </c>
      <c r="AU473" s="3">
        <v>4.7938099999999997</v>
      </c>
      <c r="AV473" s="3">
        <v>0.16491</v>
      </c>
      <c r="AW473" s="3">
        <v>1.0874600000000001</v>
      </c>
      <c r="AX473" s="3">
        <v>0.77319599999999999</v>
      </c>
      <c r="AY473" s="3">
        <v>0.36761100000000002</v>
      </c>
      <c r="AZ473" s="21">
        <v>4.4972399999999997</v>
      </c>
      <c r="BA473" s="3">
        <v>15.542</v>
      </c>
      <c r="BB473" s="3">
        <v>7</v>
      </c>
    </row>
    <row r="474" spans="1:54" s="3" customFormat="1" ht="63" customHeight="1" x14ac:dyDescent="0.25">
      <c r="A474" s="2">
        <v>472</v>
      </c>
      <c r="B474" s="3">
        <v>11</v>
      </c>
      <c r="C474" s="2">
        <v>2</v>
      </c>
      <c r="D474" s="9">
        <v>66</v>
      </c>
      <c r="E474" s="3" t="s">
        <v>53</v>
      </c>
      <c r="F474" s="3">
        <f t="shared" si="63"/>
        <v>2</v>
      </c>
      <c r="G474" s="11"/>
      <c r="H474" s="3" t="s">
        <v>84</v>
      </c>
      <c r="I474" s="3">
        <f t="shared" si="59"/>
        <v>3</v>
      </c>
      <c r="J474" s="3" t="s">
        <v>92</v>
      </c>
      <c r="K474" s="3">
        <v>8</v>
      </c>
      <c r="L474" s="6" t="s">
        <v>158</v>
      </c>
      <c r="M474" s="3">
        <v>-65</v>
      </c>
      <c r="N474" s="3">
        <f t="shared" si="60"/>
        <v>-0.65</v>
      </c>
      <c r="O474" s="3">
        <v>-62</v>
      </c>
      <c r="P474" s="3">
        <v>-0.62</v>
      </c>
      <c r="Q474" s="17">
        <v>0.28055555555555561</v>
      </c>
      <c r="R474" s="21">
        <v>0.30320815487909492</v>
      </c>
      <c r="S474" s="3">
        <v>11</v>
      </c>
      <c r="T474" s="3">
        <v>191.36</v>
      </c>
      <c r="U474" s="3">
        <v>214.79</v>
      </c>
      <c r="V474" s="26">
        <v>-0.73978164885781195</v>
      </c>
      <c r="W474" s="18">
        <v>-1.88347298010453</v>
      </c>
      <c r="X474" s="18">
        <v>-1.5763917626902499</v>
      </c>
      <c r="Y474" s="18">
        <v>-8.6415853296943207E-2</v>
      </c>
      <c r="Z474" s="18">
        <v>0.193077186732728</v>
      </c>
      <c r="AA474" s="18">
        <v>-0.35837866070450602</v>
      </c>
      <c r="AB474" s="18">
        <v>-3.7525847042797399E-2</v>
      </c>
      <c r="AC474" s="18">
        <v>0.442035861789078</v>
      </c>
      <c r="AD474" s="18">
        <v>1.3424796317881099E-2</v>
      </c>
      <c r="AE474" s="21">
        <v>-0.20455488032788499</v>
      </c>
      <c r="AF474" s="3">
        <v>9.2741199999999999</v>
      </c>
      <c r="AG474" s="3">
        <v>0.30932999999999999</v>
      </c>
      <c r="AH474" s="3">
        <v>1.5109399999999999</v>
      </c>
      <c r="AI474" s="3">
        <v>0</v>
      </c>
      <c r="AJ474" s="3">
        <v>0.26546599999999998</v>
      </c>
      <c r="AK474" s="3">
        <v>0.201407</v>
      </c>
      <c r="AL474" s="3">
        <v>0</v>
      </c>
      <c r="AM474" s="3">
        <v>9.7628000000000006E-2</v>
      </c>
      <c r="AN474" s="3">
        <v>-0.12859999999999999</v>
      </c>
      <c r="AO474" s="3">
        <v>17.9846</v>
      </c>
      <c r="AP474" s="3">
        <v>0.31072499999999997</v>
      </c>
      <c r="AQ474" s="3">
        <v>1.36551</v>
      </c>
      <c r="AR474" s="3">
        <v>27.105</v>
      </c>
      <c r="AS474" s="3">
        <v>0.10241599999999999</v>
      </c>
      <c r="AT474" s="3">
        <v>0.89298999999999995</v>
      </c>
      <c r="AU474" s="3">
        <v>5.8411600000000004</v>
      </c>
      <c r="AV474" s="3">
        <v>0.21906900000000001</v>
      </c>
      <c r="AW474" s="3">
        <v>1.3449500000000001</v>
      </c>
      <c r="AX474" s="3">
        <v>3.2792500000000002</v>
      </c>
      <c r="AY474" s="3">
        <v>0.95602399999999998</v>
      </c>
      <c r="AZ474" s="21">
        <v>5.8011900000000001</v>
      </c>
      <c r="BA474" s="3">
        <v>23.431000000000001</v>
      </c>
      <c r="BB474" s="3">
        <v>8</v>
      </c>
    </row>
    <row r="475" spans="1:54" s="3" customFormat="1" ht="78.75" customHeight="1" x14ac:dyDescent="0.25">
      <c r="A475" s="2">
        <v>473</v>
      </c>
      <c r="B475" s="3">
        <v>11</v>
      </c>
      <c r="C475" s="2">
        <v>2</v>
      </c>
      <c r="D475" s="9">
        <v>66</v>
      </c>
      <c r="E475" s="3" t="s">
        <v>53</v>
      </c>
      <c r="F475" s="3">
        <f t="shared" si="63"/>
        <v>2</v>
      </c>
      <c r="G475" s="11"/>
      <c r="H475" s="3" t="s">
        <v>84</v>
      </c>
      <c r="I475" s="3">
        <f t="shared" si="59"/>
        <v>3</v>
      </c>
      <c r="J475" s="3" t="s">
        <v>93</v>
      </c>
      <c r="K475" s="3">
        <v>9</v>
      </c>
      <c r="L475" s="6" t="s">
        <v>172</v>
      </c>
      <c r="M475" s="3">
        <v>-65</v>
      </c>
      <c r="N475" s="3">
        <f t="shared" si="60"/>
        <v>-0.65</v>
      </c>
      <c r="O475" s="3">
        <v>-62</v>
      </c>
      <c r="P475" s="3">
        <v>-0.62</v>
      </c>
      <c r="Q475" s="17">
        <v>-0.21027777777777781</v>
      </c>
      <c r="R475" s="21">
        <v>0.39157859529894667</v>
      </c>
      <c r="S475" s="3">
        <v>12</v>
      </c>
      <c r="T475" s="3">
        <v>214.79</v>
      </c>
      <c r="U475" s="3">
        <v>244.13</v>
      </c>
      <c r="V475" s="26">
        <v>8.8687140383110694E-3</v>
      </c>
      <c r="W475" s="18">
        <v>-0.44406524809591202</v>
      </c>
      <c r="X475" s="18">
        <v>0.17145326668751401</v>
      </c>
      <c r="Y475" s="18">
        <v>0.291297501184138</v>
      </c>
      <c r="Z475" s="18">
        <v>0.975503948185651</v>
      </c>
      <c r="AA475" s="18">
        <v>0.91045596842548104</v>
      </c>
      <c r="AB475" s="18">
        <v>-0.97822975813568402</v>
      </c>
      <c r="AC475" s="18">
        <v>1.1592675301573601</v>
      </c>
      <c r="AD475" s="18">
        <v>2.55082308054994E-2</v>
      </c>
      <c r="AE475" s="21">
        <v>-0.20792612716131501</v>
      </c>
      <c r="AF475" s="3">
        <v>9.7407900000000005</v>
      </c>
      <c r="AG475" s="3">
        <v>0.34323100000000001</v>
      </c>
      <c r="AH475" s="3">
        <v>1.6678299999999999</v>
      </c>
      <c r="AI475" s="3">
        <v>0.818554</v>
      </c>
      <c r="AJ475" s="3">
        <v>8.3552100000000004E-2</v>
      </c>
      <c r="AK475" s="3">
        <v>2.45791</v>
      </c>
      <c r="AL475" s="3">
        <v>2.0054599999999998</v>
      </c>
      <c r="AM475" s="3">
        <v>0.19159000000000001</v>
      </c>
      <c r="AN475" s="3">
        <v>4.0981199999999998</v>
      </c>
      <c r="AO475" s="3">
        <v>11.3779</v>
      </c>
      <c r="AP475" s="3">
        <v>0.212949</v>
      </c>
      <c r="AQ475" s="3">
        <v>1.6783300000000001</v>
      </c>
      <c r="AR475" s="3">
        <v>13.301500000000001</v>
      </c>
      <c r="AS475" s="3">
        <v>8.8775000000000007E-2</v>
      </c>
      <c r="AT475" s="3">
        <v>0.79807300000000003</v>
      </c>
      <c r="AU475" s="3">
        <v>7.2032699999999998</v>
      </c>
      <c r="AV475" s="3">
        <v>0.195634</v>
      </c>
      <c r="AW475" s="3">
        <v>0.94392500000000001</v>
      </c>
      <c r="AX475" s="3">
        <v>0.98226500000000005</v>
      </c>
      <c r="AY475" s="3">
        <v>0.59355800000000003</v>
      </c>
      <c r="AZ475" s="21">
        <v>4.7989899999999999</v>
      </c>
      <c r="BA475" s="3">
        <v>29.341999999999999</v>
      </c>
      <c r="BB475" s="3">
        <v>9</v>
      </c>
    </row>
    <row r="476" spans="1:54" s="3" customFormat="1" ht="63" customHeight="1" x14ac:dyDescent="0.25">
      <c r="A476" s="2">
        <v>474</v>
      </c>
      <c r="B476" s="3">
        <v>11</v>
      </c>
      <c r="C476" s="2">
        <v>2</v>
      </c>
      <c r="D476" s="9">
        <v>66</v>
      </c>
      <c r="E476" s="3" t="s">
        <v>53</v>
      </c>
      <c r="F476" s="3">
        <f t="shared" si="63"/>
        <v>2</v>
      </c>
      <c r="G476" s="11"/>
      <c r="H476" s="3" t="s">
        <v>84</v>
      </c>
      <c r="I476" s="3">
        <f t="shared" si="59"/>
        <v>3</v>
      </c>
      <c r="J476" s="3" t="s">
        <v>104</v>
      </c>
      <c r="K476" s="3">
        <v>10</v>
      </c>
      <c r="L476" s="6" t="s">
        <v>163</v>
      </c>
      <c r="M476" s="3">
        <v>-65</v>
      </c>
      <c r="N476" s="3">
        <f t="shared" si="60"/>
        <v>-0.65</v>
      </c>
      <c r="O476" s="3">
        <v>-62</v>
      </c>
      <c r="P476" s="3">
        <v>-0.62</v>
      </c>
      <c r="Q476" s="17">
        <v>-0.1083333333333333</v>
      </c>
      <c r="R476" s="21">
        <v>0.43179470430595451</v>
      </c>
      <c r="S476" s="3">
        <v>16</v>
      </c>
      <c r="T476" s="3">
        <v>290.41000000000003</v>
      </c>
      <c r="U476" s="3">
        <v>326.07</v>
      </c>
      <c r="V476" s="26">
        <v>0.61246627263071396</v>
      </c>
      <c r="W476" s="18">
        <v>0.32634881643380198</v>
      </c>
      <c r="X476" s="18">
        <v>0.57497603167966704</v>
      </c>
      <c r="Y476" s="18">
        <v>0.31632399915707399</v>
      </c>
      <c r="Z476" s="18">
        <v>0.56092199852022195</v>
      </c>
      <c r="AA476" s="18">
        <v>0.25117410727303302</v>
      </c>
      <c r="AB476" s="18">
        <v>2.3403715510062901</v>
      </c>
      <c r="AC476" s="18">
        <v>-0.76763335829897705</v>
      </c>
      <c r="AD476" s="18">
        <v>0.47516625035537702</v>
      </c>
      <c r="AE476" s="21">
        <v>0.39889830285596201</v>
      </c>
      <c r="AF476" s="3">
        <v>14.7811</v>
      </c>
      <c r="AG476" s="3">
        <v>0.41567500000000002</v>
      </c>
      <c r="AH476" s="3">
        <v>1.80003</v>
      </c>
      <c r="AI476" s="3">
        <v>5.1515199999999997</v>
      </c>
      <c r="AJ476" s="3">
        <v>0.20185800000000001</v>
      </c>
      <c r="AK476" s="3">
        <v>3.1086</v>
      </c>
      <c r="AL476" s="3">
        <v>0</v>
      </c>
      <c r="AM476" s="3">
        <v>0.242594</v>
      </c>
      <c r="AN476" s="3">
        <v>2.3016800000000002</v>
      </c>
      <c r="AO476" s="3">
        <v>11.1111</v>
      </c>
      <c r="AP476" s="3">
        <v>3.4365E-2</v>
      </c>
      <c r="AQ476" s="3">
        <v>0.402478</v>
      </c>
      <c r="AR476" s="3">
        <v>14.2088</v>
      </c>
      <c r="AS476" s="3">
        <v>0.11018699999999999</v>
      </c>
      <c r="AT476" s="3">
        <v>0.87982499999999997</v>
      </c>
      <c r="AU476" s="3">
        <v>9.8316499999999998</v>
      </c>
      <c r="AV476" s="3">
        <v>0.166215</v>
      </c>
      <c r="AW476" s="3">
        <v>0.89471400000000001</v>
      </c>
      <c r="AX476" s="3">
        <v>1.3131299999999999</v>
      </c>
      <c r="AY476" s="3">
        <v>0.13166900000000001</v>
      </c>
      <c r="AZ476" s="21">
        <v>3.2309199999999998</v>
      </c>
      <c r="BA476" s="3">
        <v>35.655999999999999</v>
      </c>
      <c r="BB476" s="3">
        <v>10</v>
      </c>
    </row>
    <row r="477" spans="1:54" s="3" customFormat="1" ht="47.25" customHeight="1" x14ac:dyDescent="0.25">
      <c r="A477" s="2">
        <v>475</v>
      </c>
      <c r="B477" s="3">
        <v>11</v>
      </c>
      <c r="C477" s="2">
        <v>2</v>
      </c>
      <c r="D477" s="9">
        <v>66</v>
      </c>
      <c r="E477" s="3" t="s">
        <v>53</v>
      </c>
      <c r="F477" s="3">
        <f t="shared" si="63"/>
        <v>2</v>
      </c>
      <c r="G477" s="11"/>
      <c r="H477" s="3" t="s">
        <v>84</v>
      </c>
      <c r="I477" s="3">
        <f t="shared" si="59"/>
        <v>3</v>
      </c>
      <c r="J477" s="3" t="s">
        <v>105</v>
      </c>
      <c r="K477" s="3">
        <v>11</v>
      </c>
      <c r="L477" s="6" t="s">
        <v>147</v>
      </c>
      <c r="M477" s="3">
        <v>-65</v>
      </c>
      <c r="N477" s="3">
        <f t="shared" si="60"/>
        <v>-0.65</v>
      </c>
      <c r="O477" s="3">
        <v>-62</v>
      </c>
      <c r="P477" s="3">
        <v>-0.62</v>
      </c>
      <c r="Q477" s="17">
        <v>-4.5208333333333343E-2</v>
      </c>
      <c r="R477" s="21">
        <v>0.16627506076779319</v>
      </c>
      <c r="S477" s="3">
        <v>17</v>
      </c>
      <c r="T477" s="3">
        <v>326.07</v>
      </c>
      <c r="U477" s="3">
        <v>347.05</v>
      </c>
      <c r="V477" s="26">
        <v>-2.4449565288883601</v>
      </c>
      <c r="W477" s="18">
        <v>0.414181887803936</v>
      </c>
      <c r="X477" s="18">
        <v>-1.51246422056703</v>
      </c>
      <c r="Y477" s="18">
        <v>-1.5327980242044199</v>
      </c>
      <c r="Z477" s="18">
        <v>-1.89619616382506</v>
      </c>
      <c r="AA477" s="18">
        <v>-2.3386293496639099</v>
      </c>
      <c r="AB477" s="18">
        <v>-1.54039206145384</v>
      </c>
      <c r="AC477" s="18">
        <v>-1.41993182874973</v>
      </c>
      <c r="AD477" s="18">
        <v>3.04071077699244</v>
      </c>
      <c r="AE477" s="21">
        <v>2.0194908567402699E-2</v>
      </c>
      <c r="AF477" s="3">
        <v>1.9465600000000001</v>
      </c>
      <c r="AG477" s="3">
        <v>0.19144900000000001</v>
      </c>
      <c r="AH477" s="3">
        <v>1.3511299999999999</v>
      </c>
      <c r="AI477" s="3">
        <v>0.40076299999999998</v>
      </c>
      <c r="AJ477" s="3">
        <v>0.145012</v>
      </c>
      <c r="AK477" s="3">
        <v>2.9208599999999998</v>
      </c>
      <c r="AL477" s="3">
        <v>1.9465600000000001</v>
      </c>
      <c r="AM477" s="3">
        <v>0.235404</v>
      </c>
      <c r="AN477" s="3">
        <v>4.46265</v>
      </c>
      <c r="AO477" s="3">
        <v>32.805300000000003</v>
      </c>
      <c r="AP477" s="3">
        <v>0.17476</v>
      </c>
      <c r="AQ477" s="3">
        <v>1.3809800000000001</v>
      </c>
      <c r="AR477" s="3">
        <v>32.805300000000003</v>
      </c>
      <c r="AS477" s="3">
        <v>0.23186000000000001</v>
      </c>
      <c r="AT477" s="3">
        <v>1.5609299999999999</v>
      </c>
      <c r="AU477" s="3">
        <v>13.3969</v>
      </c>
      <c r="AV477" s="3">
        <v>0.130685</v>
      </c>
      <c r="AW477" s="3">
        <v>0.84011999999999998</v>
      </c>
      <c r="AX477" s="3">
        <v>0.51526700000000003</v>
      </c>
      <c r="AY477" s="3">
        <v>0.47447299999999998</v>
      </c>
      <c r="AZ477" s="21">
        <v>4.2684699999999998</v>
      </c>
      <c r="BA477" s="3">
        <v>20.978000000000002</v>
      </c>
      <c r="BB477" s="3">
        <v>11</v>
      </c>
    </row>
    <row r="478" spans="1:54" ht="204.75" customHeight="1" x14ac:dyDescent="0.25">
      <c r="A478" s="2">
        <v>476</v>
      </c>
      <c r="B478" s="3">
        <v>12</v>
      </c>
      <c r="C478" s="2">
        <v>2</v>
      </c>
      <c r="D478" s="9">
        <v>74</v>
      </c>
      <c r="E478" s="3" t="s">
        <v>16</v>
      </c>
      <c r="F478" s="3">
        <f t="shared" si="63"/>
        <v>1</v>
      </c>
      <c r="G478" s="11" t="s">
        <v>17</v>
      </c>
      <c r="H478" s="3" t="s">
        <v>17</v>
      </c>
      <c r="I478" s="3">
        <f t="shared" si="59"/>
        <v>1</v>
      </c>
      <c r="J478" s="3" t="s">
        <v>18</v>
      </c>
      <c r="K478" s="3">
        <v>1</v>
      </c>
      <c r="L478" s="6" t="s">
        <v>234</v>
      </c>
      <c r="M478" s="3">
        <v>99</v>
      </c>
      <c r="N478" s="3">
        <f t="shared" si="60"/>
        <v>0.99</v>
      </c>
      <c r="O478" s="3">
        <v>98</v>
      </c>
      <c r="P478" s="3">
        <v>0.98</v>
      </c>
      <c r="Q478" s="17">
        <v>5.4014724310776953E-2</v>
      </c>
      <c r="R478" s="21">
        <v>0.33069953669844171</v>
      </c>
      <c r="S478" s="3">
        <v>2</v>
      </c>
      <c r="T478" s="3">
        <v>38.28</v>
      </c>
      <c r="U478" s="3">
        <v>149.1</v>
      </c>
      <c r="V478" s="26">
        <v>-0.64027745553684801</v>
      </c>
      <c r="W478" s="18">
        <v>-0.35877435516997602</v>
      </c>
      <c r="X478" s="18">
        <v>-0.60230390489376395</v>
      </c>
      <c r="Y478" s="18">
        <v>-0.39356577069850002</v>
      </c>
      <c r="Z478" s="18">
        <v>0.39606402451669498</v>
      </c>
      <c r="AA478" s="18">
        <v>0.18855545937679299</v>
      </c>
      <c r="AB478" s="18">
        <v>1.0365248606258901</v>
      </c>
      <c r="AC478" s="18">
        <v>0.26698501229970301</v>
      </c>
      <c r="AD478" s="18">
        <v>5.5883073791041599E-2</v>
      </c>
      <c r="AE478" s="21">
        <v>4.9280544567271302E-2</v>
      </c>
      <c r="AF478" s="3">
        <v>1.02888</v>
      </c>
      <c r="AG478" s="3">
        <v>6.7474300000000001E-2</v>
      </c>
      <c r="AH478" s="3">
        <v>2.5691099999999998</v>
      </c>
      <c r="AI478" s="3">
        <v>0.88808699999999996</v>
      </c>
      <c r="AJ478" s="3">
        <v>0.46801599999999999</v>
      </c>
      <c r="AK478" s="3">
        <v>3.2095500000000001</v>
      </c>
      <c r="AL478" s="3">
        <v>0.34656999999999999</v>
      </c>
      <c r="AM478" s="3">
        <v>0.180476</v>
      </c>
      <c r="AN478" s="3">
        <v>4.9565099999999997</v>
      </c>
      <c r="AO478" s="3">
        <v>3</v>
      </c>
      <c r="AP478" s="3">
        <v>0.15022199999999999</v>
      </c>
      <c r="AQ478" s="3">
        <v>1.8036300000000001</v>
      </c>
      <c r="AR478" s="3">
        <v>4.4295999999999998</v>
      </c>
      <c r="AS478" s="3">
        <v>4.9923799999999997E-2</v>
      </c>
      <c r="AT478" s="3">
        <v>1.4034199999999999</v>
      </c>
      <c r="AU478" s="3">
        <v>10.776199999999999</v>
      </c>
      <c r="AV478" s="3">
        <v>0.235623</v>
      </c>
      <c r="AW478" s="3">
        <v>1.1657500000000001</v>
      </c>
      <c r="AX478" s="3">
        <v>3.88809</v>
      </c>
      <c r="AY478" s="3">
        <v>0.16830000000000001</v>
      </c>
      <c r="AZ478" s="21">
        <v>2.4152300000000002</v>
      </c>
      <c r="BA478" s="3">
        <v>110.82</v>
      </c>
      <c r="BB478" s="3">
        <v>1</v>
      </c>
    </row>
    <row r="479" spans="1:54" ht="126" customHeight="1" x14ac:dyDescent="0.25">
      <c r="A479" s="2">
        <v>477</v>
      </c>
      <c r="B479" s="3">
        <v>12</v>
      </c>
      <c r="C479" s="2">
        <v>2</v>
      </c>
      <c r="D479" s="9">
        <v>74</v>
      </c>
      <c r="E479" s="3" t="s">
        <v>16</v>
      </c>
      <c r="F479" s="3">
        <f t="shared" si="63"/>
        <v>1</v>
      </c>
      <c r="G479" s="12"/>
      <c r="H479" s="3" t="s">
        <v>17</v>
      </c>
      <c r="I479" s="3">
        <f t="shared" si="59"/>
        <v>1</v>
      </c>
      <c r="J479" s="3" t="s">
        <v>19</v>
      </c>
      <c r="K479" s="3">
        <v>2</v>
      </c>
      <c r="L479" s="6" t="s">
        <v>191</v>
      </c>
      <c r="M479" s="3">
        <v>99</v>
      </c>
      <c r="N479" s="3">
        <f t="shared" si="60"/>
        <v>0.99</v>
      </c>
      <c r="O479" s="3">
        <v>98</v>
      </c>
      <c r="P479" s="3">
        <v>0.98</v>
      </c>
      <c r="Q479" s="17">
        <v>0.1483024691358025</v>
      </c>
      <c r="R479" s="21">
        <v>0.2092892165544627</v>
      </c>
      <c r="S479" s="3">
        <v>3</v>
      </c>
      <c r="T479" s="3">
        <v>149.1</v>
      </c>
      <c r="U479" s="3">
        <v>222.97</v>
      </c>
      <c r="V479" s="26">
        <v>-0.37656251049989398</v>
      </c>
      <c r="W479" s="18">
        <v>0.63816558582564897</v>
      </c>
      <c r="X479" s="18">
        <v>0.53179309693306698</v>
      </c>
      <c r="Y479" s="18">
        <v>1.11008393806871</v>
      </c>
      <c r="Z479" s="18">
        <v>0.11079316492884</v>
      </c>
      <c r="AA479" s="18">
        <v>0.11581807406189</v>
      </c>
      <c r="AB479" s="18">
        <v>0.64482978774263899</v>
      </c>
      <c r="AC479" s="18">
        <v>0.687855973114604</v>
      </c>
      <c r="AD479" s="18">
        <v>0.63172170372481795</v>
      </c>
      <c r="AE479" s="21">
        <v>-1.54486966759946</v>
      </c>
      <c r="AF479" s="3">
        <v>0.519903</v>
      </c>
      <c r="AG479" s="3">
        <v>0.20089799999999999</v>
      </c>
      <c r="AH479" s="3">
        <v>3.4634399999999999</v>
      </c>
      <c r="AI479" s="3">
        <v>9.6994299999999996</v>
      </c>
      <c r="AJ479" s="3">
        <v>0.15414900000000001</v>
      </c>
      <c r="AK479" s="3">
        <v>2.0203500000000001</v>
      </c>
      <c r="AL479" s="3">
        <v>2.30707</v>
      </c>
      <c r="AM479" s="3">
        <v>3.45607E-2</v>
      </c>
      <c r="AN479" s="3">
        <v>3.9138700000000002</v>
      </c>
      <c r="AO479" s="3">
        <v>13.8262</v>
      </c>
      <c r="AP479" s="3">
        <v>0.296186</v>
      </c>
      <c r="AQ479" s="3">
        <v>2.46991</v>
      </c>
      <c r="AR479" s="3">
        <v>5.1502800000000004</v>
      </c>
      <c r="AS479" s="3">
        <v>5.02084E-2</v>
      </c>
      <c r="AT479" s="3">
        <v>1.35318</v>
      </c>
      <c r="AU479" s="3">
        <v>9.6181999999999999</v>
      </c>
      <c r="AV479" s="3">
        <v>8.0187300000000003E-2</v>
      </c>
      <c r="AW479" s="3">
        <v>0.70675699999999997</v>
      </c>
      <c r="AX479" s="3">
        <v>2.0308700000000002</v>
      </c>
      <c r="AY479" s="3">
        <v>0.113873</v>
      </c>
      <c r="AZ479" s="21">
        <v>2.41757</v>
      </c>
      <c r="BA479" s="3">
        <v>73.87</v>
      </c>
      <c r="BB479" s="3">
        <v>2</v>
      </c>
    </row>
    <row r="480" spans="1:54" ht="204.75" customHeight="1" x14ac:dyDescent="0.25">
      <c r="A480" s="2">
        <v>478</v>
      </c>
      <c r="B480" s="3">
        <v>12</v>
      </c>
      <c r="C480" s="2">
        <v>2</v>
      </c>
      <c r="D480" s="9">
        <v>74</v>
      </c>
      <c r="E480" s="3" t="s">
        <v>16</v>
      </c>
      <c r="F480" s="3">
        <f t="shared" si="63"/>
        <v>1</v>
      </c>
      <c r="G480" s="12"/>
      <c r="H480" s="3" t="s">
        <v>17</v>
      </c>
      <c r="I480" s="3">
        <f t="shared" si="59"/>
        <v>1</v>
      </c>
      <c r="J480" s="3" t="s">
        <v>20</v>
      </c>
      <c r="K480" s="3">
        <v>3</v>
      </c>
      <c r="L480" s="6" t="s">
        <v>264</v>
      </c>
      <c r="M480" s="3">
        <v>99</v>
      </c>
      <c r="N480" s="3">
        <f t="shared" si="60"/>
        <v>0.99</v>
      </c>
      <c r="O480" s="3">
        <v>98</v>
      </c>
      <c r="P480" s="3">
        <v>0.98</v>
      </c>
      <c r="Q480" s="17">
        <v>0.18298280423280419</v>
      </c>
      <c r="R480" s="21">
        <v>0.29902089262911052</v>
      </c>
      <c r="S480" s="3">
        <v>4</v>
      </c>
      <c r="T480" s="3">
        <v>222.97</v>
      </c>
      <c r="U480" s="3">
        <v>362.65</v>
      </c>
      <c r="V480" s="26">
        <v>-1.04314078863185</v>
      </c>
      <c r="W480" s="18">
        <v>0.92691690154264195</v>
      </c>
      <c r="X480" s="18">
        <v>-1.0711182313883299E-2</v>
      </c>
      <c r="Y480" s="18">
        <v>0.56900380206268897</v>
      </c>
      <c r="Z480" s="18">
        <v>-0.70566521604339605</v>
      </c>
      <c r="AA480" s="18">
        <v>-0.59396002318473196</v>
      </c>
      <c r="AB480" s="18">
        <v>0.67218816168155004</v>
      </c>
      <c r="AC480" s="18">
        <v>0.12942762034505101</v>
      </c>
      <c r="AD480" s="18">
        <v>0.69856427024823697</v>
      </c>
      <c r="AE480" s="21">
        <v>-0.10483669648812299</v>
      </c>
      <c r="AF480" s="3">
        <v>0.97092900000000004</v>
      </c>
      <c r="AG480" s="3">
        <v>0.14228299999999999</v>
      </c>
      <c r="AH480" s="3">
        <v>2.7918400000000001</v>
      </c>
      <c r="AI480" s="3">
        <v>5.9286799999999999</v>
      </c>
      <c r="AJ480" s="3">
        <v>8.4129899999999994E-2</v>
      </c>
      <c r="AK480" s="3">
        <v>1.8952199999999999</v>
      </c>
      <c r="AL480" s="3">
        <v>0</v>
      </c>
      <c r="AM480" s="3">
        <v>0</v>
      </c>
      <c r="AN480" s="3">
        <v>-0.46329700000000001</v>
      </c>
      <c r="AO480" s="3">
        <v>2.7065700000000001</v>
      </c>
      <c r="AP480" s="3">
        <v>5.4697000000000003E-2</v>
      </c>
      <c r="AQ480" s="3">
        <v>1.5148999999999999</v>
      </c>
      <c r="AR480" s="3">
        <v>3.9868299999999999</v>
      </c>
      <c r="AS480" s="3">
        <v>0.17607800000000001</v>
      </c>
      <c r="AT480" s="3">
        <v>2.0311699999999999</v>
      </c>
      <c r="AU480" s="3">
        <v>10.963800000000001</v>
      </c>
      <c r="AV480" s="3">
        <v>4.40995E-2</v>
      </c>
      <c r="AW480" s="3">
        <v>0.65349000000000002</v>
      </c>
      <c r="AX480" s="3">
        <v>0.42961500000000002</v>
      </c>
      <c r="AY480" s="3">
        <v>0.172599</v>
      </c>
      <c r="AZ480" s="21">
        <v>2.4998399999999998</v>
      </c>
      <c r="BA480" s="3">
        <v>139.68</v>
      </c>
      <c r="BB480" s="3">
        <v>3</v>
      </c>
    </row>
    <row r="481" spans="1:54" ht="78.75" customHeight="1" x14ac:dyDescent="0.25">
      <c r="A481" s="2">
        <v>479</v>
      </c>
      <c r="B481" s="3">
        <v>12</v>
      </c>
      <c r="C481" s="2">
        <v>2</v>
      </c>
      <c r="D481" s="9">
        <v>74</v>
      </c>
      <c r="E481" s="3" t="s">
        <v>16</v>
      </c>
      <c r="F481" s="3">
        <f>IF(E482="Happy", 1,2)</f>
        <v>1</v>
      </c>
      <c r="G481" s="12"/>
      <c r="H481" s="3" t="s">
        <v>17</v>
      </c>
      <c r="I481" s="3">
        <f t="shared" si="59"/>
        <v>1</v>
      </c>
      <c r="J481" s="3" t="s">
        <v>21</v>
      </c>
      <c r="K481" s="3">
        <v>4</v>
      </c>
      <c r="L481" s="6" t="s">
        <v>175</v>
      </c>
      <c r="M481" s="3">
        <v>99</v>
      </c>
      <c r="N481" s="3">
        <f t="shared" si="60"/>
        <v>0.99</v>
      </c>
      <c r="O481" s="3">
        <v>98</v>
      </c>
      <c r="P481" s="3">
        <v>0.98</v>
      </c>
      <c r="Q481" s="17">
        <v>0.20833333333333329</v>
      </c>
      <c r="R481" s="21">
        <v>0.15305530348839899</v>
      </c>
      <c r="S481" s="3">
        <v>5</v>
      </c>
      <c r="T481" s="3">
        <v>362.65</v>
      </c>
      <c r="U481" s="3">
        <v>394.63</v>
      </c>
      <c r="V481" s="26">
        <v>-0.71605697768125498</v>
      </c>
      <c r="W481" s="18">
        <v>0.41423242368220797</v>
      </c>
      <c r="X481" s="18">
        <v>0.35687926515332002</v>
      </c>
      <c r="Y481" s="18">
        <v>0.38615353897636001</v>
      </c>
      <c r="Z481" s="18">
        <v>-1.97516761560862</v>
      </c>
      <c r="AA481" s="18">
        <v>-1.6740544339127601</v>
      </c>
      <c r="AB481" s="18">
        <v>-1.1071660329264501</v>
      </c>
      <c r="AC481" s="18">
        <v>1.2011910086539901</v>
      </c>
      <c r="AD481" s="18">
        <v>-0.56027821808261702</v>
      </c>
      <c r="AE481" s="21">
        <v>1.93882213542351</v>
      </c>
      <c r="AF481" s="3">
        <v>3.49186</v>
      </c>
      <c r="AG481" s="3">
        <v>0.13164400000000001</v>
      </c>
      <c r="AH481" s="3">
        <v>2.9237299999999999</v>
      </c>
      <c r="AI481" s="3">
        <v>9.9123900000000003</v>
      </c>
      <c r="AJ481" s="3">
        <v>0.155502</v>
      </c>
      <c r="AK481" s="3">
        <v>2.2039</v>
      </c>
      <c r="AL481" s="3">
        <v>0</v>
      </c>
      <c r="AM481" s="3">
        <v>7.2933700000000004E-3</v>
      </c>
      <c r="AN481" s="3">
        <v>-0.45922499999999999</v>
      </c>
      <c r="AO481" s="3">
        <v>1.57697</v>
      </c>
      <c r="AP481" s="3">
        <v>0.14590800000000001</v>
      </c>
      <c r="AQ481" s="3">
        <v>2.0408599999999999</v>
      </c>
      <c r="AR481" s="3">
        <v>3.3041299999999998</v>
      </c>
      <c r="AS481" s="3">
        <v>3.9940400000000001E-2</v>
      </c>
      <c r="AT481" s="3">
        <v>1.2078199999999999</v>
      </c>
      <c r="AU481" s="3">
        <v>9.7246600000000001</v>
      </c>
      <c r="AV481" s="3">
        <v>6.6578999999999999E-2</v>
      </c>
      <c r="AW481" s="3">
        <v>0.70604699999999998</v>
      </c>
      <c r="AX481" s="3">
        <v>0.75093900000000002</v>
      </c>
      <c r="AY481" s="3">
        <v>7.2705599999999995E-2</v>
      </c>
      <c r="AZ481" s="21">
        <v>2.4788000000000001</v>
      </c>
      <c r="BA481" s="3">
        <v>31.98</v>
      </c>
      <c r="BB481" s="3">
        <v>4</v>
      </c>
    </row>
    <row r="482" spans="1:54" ht="126" customHeight="1" x14ac:dyDescent="0.25">
      <c r="A482" s="2">
        <v>480</v>
      </c>
      <c r="B482" s="3">
        <v>12</v>
      </c>
      <c r="C482" s="2">
        <v>2</v>
      </c>
      <c r="D482" s="9">
        <v>74</v>
      </c>
      <c r="E482" s="3" t="s">
        <v>16</v>
      </c>
      <c r="F482" s="3">
        <f>IF(E483="Happy", 1,2)</f>
        <v>1</v>
      </c>
      <c r="G482" s="12"/>
      <c r="H482" s="3" t="s">
        <v>17</v>
      </c>
      <c r="I482" s="3">
        <f t="shared" si="59"/>
        <v>1</v>
      </c>
      <c r="J482" s="3" t="s">
        <v>22</v>
      </c>
      <c r="K482" s="3">
        <v>5</v>
      </c>
      <c r="L482" s="6" t="s">
        <v>189</v>
      </c>
      <c r="M482" s="3">
        <v>99</v>
      </c>
      <c r="N482" s="3">
        <f t="shared" si="60"/>
        <v>0.99</v>
      </c>
      <c r="O482" s="3">
        <v>98</v>
      </c>
      <c r="P482" s="3">
        <v>0.98</v>
      </c>
      <c r="Q482" s="17">
        <v>0.1066666666666667</v>
      </c>
      <c r="R482" s="21">
        <v>0.28447668468080839</v>
      </c>
      <c r="S482" s="3">
        <v>7</v>
      </c>
      <c r="T482" s="3">
        <v>427.51</v>
      </c>
      <c r="U482" s="3">
        <v>489.93</v>
      </c>
      <c r="V482" s="26">
        <v>-0.44398852941410399</v>
      </c>
      <c r="W482" s="18">
        <v>-0.49193461051598603</v>
      </c>
      <c r="X482" s="18">
        <v>0.64132370014223505</v>
      </c>
      <c r="Y482" s="18">
        <v>1.9320967847078501</v>
      </c>
      <c r="Z482" s="18">
        <v>-1.3520908668454401</v>
      </c>
      <c r="AA482" s="18">
        <v>-1.4046039324353199</v>
      </c>
      <c r="AB482" s="18">
        <v>0.55096340548734202</v>
      </c>
      <c r="AC482" s="18">
        <v>1.3628892674086299</v>
      </c>
      <c r="AD482" s="18">
        <v>-0.38409920283759402</v>
      </c>
      <c r="AE482" s="21">
        <v>-0.47247053192234401</v>
      </c>
      <c r="AF482" s="3">
        <v>0.82692299999999996</v>
      </c>
      <c r="AG482" s="3">
        <v>4.6037399999999999E-2</v>
      </c>
      <c r="AH482" s="3">
        <v>2.4397099999999998</v>
      </c>
      <c r="AI482" s="3">
        <v>2.4615399999999998</v>
      </c>
      <c r="AJ482" s="3">
        <v>0.48820799999999998</v>
      </c>
      <c r="AK482" s="3">
        <v>4.6040400000000004</v>
      </c>
      <c r="AL482" s="3">
        <v>0.19230800000000001</v>
      </c>
      <c r="AM482" s="3">
        <v>0.128966</v>
      </c>
      <c r="AN482" s="3">
        <v>4.3720999999999997</v>
      </c>
      <c r="AO482" s="3">
        <v>7.61538</v>
      </c>
      <c r="AP482" s="3">
        <v>0.58353600000000005</v>
      </c>
      <c r="AQ482" s="3">
        <v>2.8329</v>
      </c>
      <c r="AR482" s="3">
        <v>24.75</v>
      </c>
      <c r="AS482" s="3">
        <v>6.6985900000000001E-2</v>
      </c>
      <c r="AT482" s="3">
        <v>1.42821</v>
      </c>
      <c r="AU482" s="3">
        <v>19.230799999999999</v>
      </c>
      <c r="AV482" s="3">
        <v>0.92560200000000004</v>
      </c>
      <c r="AW482" s="3">
        <v>2.0606499999999999</v>
      </c>
      <c r="AX482" s="3">
        <v>1.3269200000000001</v>
      </c>
      <c r="AY482" s="3">
        <v>0.90631799999999996</v>
      </c>
      <c r="AZ482" s="21">
        <v>4.7846000000000002</v>
      </c>
      <c r="BA482" s="3">
        <v>62.42</v>
      </c>
      <c r="BB482" s="3">
        <v>5</v>
      </c>
    </row>
    <row r="483" spans="1:54" ht="126" customHeight="1" x14ac:dyDescent="0.25">
      <c r="A483" s="2">
        <v>481</v>
      </c>
      <c r="B483" s="3">
        <v>12</v>
      </c>
      <c r="C483" s="2">
        <v>2</v>
      </c>
      <c r="D483" s="9">
        <v>74</v>
      </c>
      <c r="E483" s="3" t="s">
        <v>16</v>
      </c>
      <c r="F483" s="3">
        <f t="shared" ref="F483:F490" si="64">IF(E483="Happy", 1,2)</f>
        <v>1</v>
      </c>
      <c r="G483" s="12"/>
      <c r="H483" s="3" t="s">
        <v>17</v>
      </c>
      <c r="I483" s="3">
        <f t="shared" si="59"/>
        <v>1</v>
      </c>
      <c r="J483" s="3" t="s">
        <v>23</v>
      </c>
      <c r="K483" s="3">
        <v>6</v>
      </c>
      <c r="L483" s="6" t="s">
        <v>180</v>
      </c>
      <c r="M483" s="3">
        <v>99</v>
      </c>
      <c r="N483" s="3">
        <f t="shared" si="60"/>
        <v>0.99</v>
      </c>
      <c r="O483" s="3">
        <v>98</v>
      </c>
      <c r="P483" s="3">
        <v>0.98</v>
      </c>
      <c r="Q483" s="17">
        <v>0.13316666666666671</v>
      </c>
      <c r="R483" s="21">
        <v>0.33975603992669012</v>
      </c>
      <c r="S483" s="3">
        <v>9</v>
      </c>
      <c r="T483" s="3">
        <v>498.01</v>
      </c>
      <c r="U483" s="3">
        <v>566.78</v>
      </c>
      <c r="V483" s="26">
        <v>-1.41695085828986E-2</v>
      </c>
      <c r="W483" s="18">
        <v>0.87989343674656095</v>
      </c>
      <c r="X483" s="18">
        <v>1.4890750296782</v>
      </c>
      <c r="Y483" s="18">
        <v>0.99724092562696898</v>
      </c>
      <c r="Z483" s="18">
        <v>-0.78173744526682398</v>
      </c>
      <c r="AA483" s="18">
        <v>-0.88893676209806605</v>
      </c>
      <c r="AB483" s="18">
        <v>-0.34702719285620498</v>
      </c>
      <c r="AC483" s="18">
        <v>1.0044201698314399</v>
      </c>
      <c r="AD483" s="18">
        <v>-0.85416838875983303</v>
      </c>
      <c r="AE483" s="21">
        <v>1.24850532652955</v>
      </c>
      <c r="AF483" s="3">
        <v>1.2045399999999999</v>
      </c>
      <c r="AG483" s="3">
        <v>0.31713599999999997</v>
      </c>
      <c r="AH483" s="3">
        <v>3.5079500000000001</v>
      </c>
      <c r="AI483" s="3">
        <v>2.4963600000000001</v>
      </c>
      <c r="AJ483" s="3">
        <v>0.25770799999999999</v>
      </c>
      <c r="AK483" s="3">
        <v>2.48813</v>
      </c>
      <c r="AL483" s="3">
        <v>2.21705</v>
      </c>
      <c r="AM483" s="3">
        <v>5.5015099999999997E-2</v>
      </c>
      <c r="AN483" s="3">
        <v>3.97119</v>
      </c>
      <c r="AO483" s="3">
        <v>7.2446900000000003</v>
      </c>
      <c r="AP483" s="3">
        <v>7.0710700000000001E-2</v>
      </c>
      <c r="AQ483" s="3">
        <v>1.5478000000000001</v>
      </c>
      <c r="AR483" s="3">
        <v>1.0998000000000001</v>
      </c>
      <c r="AS483" s="3">
        <v>3.4456800000000003E-2</v>
      </c>
      <c r="AT483" s="3">
        <v>1.3155699999999999</v>
      </c>
      <c r="AU483" s="3">
        <v>8.44923</v>
      </c>
      <c r="AV483" s="3">
        <v>0.14421900000000001</v>
      </c>
      <c r="AW483" s="3">
        <v>0.963202</v>
      </c>
      <c r="AX483" s="3">
        <v>1.4314800000000001</v>
      </c>
      <c r="AY483" s="3">
        <v>7.7106800000000003E-2</v>
      </c>
      <c r="AZ483" s="21">
        <v>2.2250399999999999</v>
      </c>
      <c r="BA483" s="3">
        <v>68.77</v>
      </c>
      <c r="BB483" s="3">
        <v>6</v>
      </c>
    </row>
    <row r="484" spans="1:54" ht="126" customHeight="1" x14ac:dyDescent="0.25">
      <c r="A484" s="2">
        <v>482</v>
      </c>
      <c r="B484" s="3">
        <v>12</v>
      </c>
      <c r="C484" s="2">
        <v>2</v>
      </c>
      <c r="D484" s="9">
        <v>74</v>
      </c>
      <c r="E484" s="3" t="s">
        <v>16</v>
      </c>
      <c r="F484" s="3">
        <f t="shared" si="64"/>
        <v>1</v>
      </c>
      <c r="G484" s="12"/>
      <c r="H484" s="3" t="s">
        <v>17</v>
      </c>
      <c r="I484" s="3">
        <f t="shared" si="59"/>
        <v>1</v>
      </c>
      <c r="J484" s="3" t="s">
        <v>24</v>
      </c>
      <c r="K484" s="3">
        <v>7</v>
      </c>
      <c r="L484" s="6" t="s">
        <v>186</v>
      </c>
      <c r="M484" s="3">
        <v>99</v>
      </c>
      <c r="N484" s="3">
        <f t="shared" si="60"/>
        <v>0.99</v>
      </c>
      <c r="O484" s="3">
        <v>98</v>
      </c>
      <c r="P484" s="3">
        <v>0.98</v>
      </c>
      <c r="Q484" s="17">
        <v>-2.5000000000000061E-3</v>
      </c>
      <c r="R484" s="21">
        <v>0.2434719109642248</v>
      </c>
      <c r="S484" s="3">
        <v>11</v>
      </c>
      <c r="T484" s="3">
        <v>574.82000000000005</v>
      </c>
      <c r="U484" s="3">
        <v>653.11</v>
      </c>
      <c r="V484" s="26">
        <v>0.91614211437286397</v>
      </c>
      <c r="W484" s="18">
        <v>1.81746359797971</v>
      </c>
      <c r="X484" s="18">
        <v>2.1726253372412798</v>
      </c>
      <c r="Y484" s="18">
        <v>1.6667680998208101</v>
      </c>
      <c r="Z484" s="18">
        <v>-8.9641068189309503E-3</v>
      </c>
      <c r="AA484" s="18">
        <v>-0.35790428378968803</v>
      </c>
      <c r="AB484" s="18">
        <v>1.62164959913051</v>
      </c>
      <c r="AC484" s="18">
        <v>0.91696646368808299</v>
      </c>
      <c r="AD484" s="18">
        <v>-0.40379527232361301</v>
      </c>
      <c r="AE484" s="21">
        <v>0.94990317198472896</v>
      </c>
      <c r="AF484" s="3">
        <v>2.5600399999999999</v>
      </c>
      <c r="AG484" s="3">
        <v>0.25356600000000001</v>
      </c>
      <c r="AH484" s="3">
        <v>3.3008199999999999</v>
      </c>
      <c r="AI484" s="3">
        <v>0.38324000000000003</v>
      </c>
      <c r="AJ484" s="3">
        <v>0.136683</v>
      </c>
      <c r="AK484" s="3">
        <v>2.1000700000000001</v>
      </c>
      <c r="AL484" s="3">
        <v>0</v>
      </c>
      <c r="AM484" s="3">
        <v>9.3625100000000003E-2</v>
      </c>
      <c r="AN484" s="3">
        <v>2.3776700000000002</v>
      </c>
      <c r="AO484" s="3">
        <v>8.0020399999999992</v>
      </c>
      <c r="AP484" s="3">
        <v>0.33944000000000002</v>
      </c>
      <c r="AQ484" s="3">
        <v>2.4329800000000001</v>
      </c>
      <c r="AR484" s="3">
        <v>4.1389899999999997</v>
      </c>
      <c r="AS484" s="3">
        <v>0.35346699999999998</v>
      </c>
      <c r="AT484" s="3">
        <v>2.4810699999999999</v>
      </c>
      <c r="AU484" s="3">
        <v>10.2248</v>
      </c>
      <c r="AV484" s="3">
        <v>7.3579699999999998E-2</v>
      </c>
      <c r="AW484" s="3">
        <v>0.87105600000000005</v>
      </c>
      <c r="AX484" s="3">
        <v>0.39856900000000001</v>
      </c>
      <c r="AY484" s="3">
        <v>0.20199500000000001</v>
      </c>
      <c r="AZ484" s="21">
        <v>2.8490000000000002</v>
      </c>
      <c r="BA484" s="3">
        <v>78.290000000000006</v>
      </c>
      <c r="BB484" s="3">
        <v>7</v>
      </c>
    </row>
    <row r="485" spans="1:54" ht="299.25" customHeight="1" x14ac:dyDescent="0.25">
      <c r="A485" s="2">
        <v>483</v>
      </c>
      <c r="B485" s="3">
        <v>12</v>
      </c>
      <c r="C485" s="2">
        <v>2</v>
      </c>
      <c r="D485" s="9">
        <v>74</v>
      </c>
      <c r="E485" s="3" t="s">
        <v>53</v>
      </c>
      <c r="F485" s="3">
        <f t="shared" si="64"/>
        <v>2</v>
      </c>
      <c r="G485" s="11" t="s">
        <v>54</v>
      </c>
      <c r="H485" s="3" t="s">
        <v>54</v>
      </c>
      <c r="I485" s="3">
        <f t="shared" si="59"/>
        <v>1</v>
      </c>
      <c r="J485" s="3" t="s">
        <v>55</v>
      </c>
      <c r="K485" s="3">
        <v>1</v>
      </c>
      <c r="L485" s="6" t="s">
        <v>265</v>
      </c>
      <c r="M485" s="3">
        <v>-55</v>
      </c>
      <c r="N485" s="3">
        <f t="shared" si="60"/>
        <v>-0.55000000000000004</v>
      </c>
      <c r="O485" s="3">
        <v>1</v>
      </c>
      <c r="P485" s="3">
        <v>0.01</v>
      </c>
      <c r="Q485" s="17">
        <v>-5.095740740740741E-2</v>
      </c>
      <c r="R485" s="21">
        <v>0.32663062922579478</v>
      </c>
      <c r="S485" s="3">
        <v>1</v>
      </c>
      <c r="T485" s="3">
        <v>0</v>
      </c>
      <c r="U485" s="3">
        <v>184.86</v>
      </c>
      <c r="V485" s="26">
        <v>0.57272849259231495</v>
      </c>
      <c r="W485" s="18">
        <v>-0.59759057513221403</v>
      </c>
      <c r="X485" s="18">
        <v>-0.47475988385761098</v>
      </c>
      <c r="Y485" s="18">
        <v>-1.4287934710649901</v>
      </c>
      <c r="Z485" s="18">
        <v>0.40566720196816902</v>
      </c>
      <c r="AA485" s="18">
        <v>0.76332949989328303</v>
      </c>
      <c r="AB485" s="18">
        <v>-0.169230883771366</v>
      </c>
      <c r="AC485" s="18">
        <v>0.23100145612613801</v>
      </c>
      <c r="AD485" s="18">
        <v>0.11574671805563599</v>
      </c>
      <c r="AE485" s="21">
        <v>-0.41788734238189201</v>
      </c>
      <c r="AF485" s="3">
        <v>1.25298</v>
      </c>
      <c r="AG485" s="3">
        <v>9.6003500000000005E-2</v>
      </c>
      <c r="AH485" s="3">
        <v>2.7581899999999999</v>
      </c>
      <c r="AI485" s="3">
        <v>1.93465</v>
      </c>
      <c r="AJ485" s="3">
        <v>0.129605</v>
      </c>
      <c r="AK485" s="3">
        <v>1.5024200000000001</v>
      </c>
      <c r="AL485" s="3">
        <v>0.181779</v>
      </c>
      <c r="AM485" s="3">
        <v>0.287796</v>
      </c>
      <c r="AN485" s="3">
        <v>5.9802499999999998</v>
      </c>
      <c r="AO485" s="3">
        <v>1.3698300000000001</v>
      </c>
      <c r="AP485" s="3">
        <v>6.1128299999999997E-2</v>
      </c>
      <c r="AQ485" s="3">
        <v>2.1859099999999998</v>
      </c>
      <c r="AR485" s="3">
        <v>3.4148499999999999</v>
      </c>
      <c r="AS485" s="3">
        <v>5.5536799999999997E-2</v>
      </c>
      <c r="AT485" s="3">
        <v>2.05233</v>
      </c>
      <c r="AU485" s="3">
        <v>15.3993</v>
      </c>
      <c r="AV485" s="3">
        <v>0.28027999999999997</v>
      </c>
      <c r="AW485" s="3">
        <v>1.30463</v>
      </c>
      <c r="AX485" s="3">
        <v>0.68816299999999997</v>
      </c>
      <c r="AY485" s="3">
        <v>6.1779199999999999E-2</v>
      </c>
      <c r="AZ485" s="21">
        <v>2.38273</v>
      </c>
      <c r="BA485" s="3">
        <v>184.86</v>
      </c>
      <c r="BB485" s="3">
        <v>1</v>
      </c>
    </row>
    <row r="486" spans="1:54" ht="157.5" customHeight="1" x14ac:dyDescent="0.25">
      <c r="A486" s="2">
        <v>484</v>
      </c>
      <c r="B486" s="3">
        <v>12</v>
      </c>
      <c r="C486" s="2">
        <v>2</v>
      </c>
      <c r="D486" s="9">
        <v>74</v>
      </c>
      <c r="E486" s="3" t="s">
        <v>53</v>
      </c>
      <c r="F486" s="3">
        <f t="shared" si="64"/>
        <v>2</v>
      </c>
      <c r="G486" s="12"/>
      <c r="H486" s="3" t="s">
        <v>54</v>
      </c>
      <c r="I486" s="3">
        <f t="shared" si="59"/>
        <v>1</v>
      </c>
      <c r="J486" s="3" t="s">
        <v>56</v>
      </c>
      <c r="K486" s="3">
        <v>2</v>
      </c>
      <c r="L486" s="6" t="s">
        <v>185</v>
      </c>
      <c r="M486" s="3">
        <v>-55</v>
      </c>
      <c r="N486" s="3">
        <f t="shared" si="60"/>
        <v>-0.55000000000000004</v>
      </c>
      <c r="O486" s="3">
        <v>1</v>
      </c>
      <c r="P486" s="3">
        <v>0.01</v>
      </c>
      <c r="Q486" s="17">
        <v>-0.15506172839506169</v>
      </c>
      <c r="R486" s="21">
        <v>0.17144615566863211</v>
      </c>
      <c r="S486" s="3">
        <v>2</v>
      </c>
      <c r="T486" s="3">
        <v>184.86</v>
      </c>
      <c r="U486" s="3">
        <v>270.3</v>
      </c>
      <c r="V486" s="26">
        <v>0.91222295977367596</v>
      </c>
      <c r="W486" s="18">
        <v>-0.96521834840776599</v>
      </c>
      <c r="X486" s="18">
        <v>-0.27604657120011</v>
      </c>
      <c r="Y486" s="18">
        <v>-1.2143134260609401</v>
      </c>
      <c r="Z486" s="18">
        <v>0.52354149774506398</v>
      </c>
      <c r="AA486" s="18">
        <v>0.487001783961026</v>
      </c>
      <c r="AB486" s="18">
        <v>-0.94626169806539295</v>
      </c>
      <c r="AC486" s="18">
        <v>-6.0055409632219003E-2</v>
      </c>
      <c r="AD486" s="18">
        <v>-0.65612208377048997</v>
      </c>
      <c r="AE486" s="21">
        <v>0.29811567335462602</v>
      </c>
      <c r="AF486" s="3">
        <v>0.18262700000000001</v>
      </c>
      <c r="AG486" s="3">
        <v>6.7946099999999995E-2</v>
      </c>
      <c r="AH486" s="3">
        <v>2.6710199999999999</v>
      </c>
      <c r="AI486" s="3">
        <v>7.9231999999999996</v>
      </c>
      <c r="AJ486" s="3">
        <v>0.29067799999999999</v>
      </c>
      <c r="AK486" s="3">
        <v>2.2772700000000001</v>
      </c>
      <c r="AL486" s="3">
        <v>0</v>
      </c>
      <c r="AM486" s="3">
        <v>0.11964</v>
      </c>
      <c r="AN486" s="3">
        <v>-0.34287600000000001</v>
      </c>
      <c r="AO486" s="3">
        <v>0.32310899999999998</v>
      </c>
      <c r="AP486" s="3">
        <v>0.15795500000000001</v>
      </c>
      <c r="AQ486" s="3">
        <v>2.49823</v>
      </c>
      <c r="AR486" s="3">
        <v>0.112386</v>
      </c>
      <c r="AS486" s="3">
        <v>5.1530199999999998E-2</v>
      </c>
      <c r="AT486" s="3">
        <v>2.0933700000000002</v>
      </c>
      <c r="AU486" s="3">
        <v>15.7059</v>
      </c>
      <c r="AV486" s="3">
        <v>0.111202</v>
      </c>
      <c r="AW486" s="3">
        <v>1.10138</v>
      </c>
      <c r="AX486" s="3">
        <v>0</v>
      </c>
      <c r="AY486" s="3">
        <v>0.17416499999999999</v>
      </c>
      <c r="AZ486" s="21">
        <v>5.7975400000000003E-3</v>
      </c>
      <c r="BA486" s="3">
        <v>85.44</v>
      </c>
      <c r="BB486" s="3">
        <v>2</v>
      </c>
    </row>
    <row r="487" spans="1:54" ht="94.5" customHeight="1" x14ac:dyDescent="0.25">
      <c r="A487" s="2">
        <v>485</v>
      </c>
      <c r="B487" s="3">
        <v>12</v>
      </c>
      <c r="C487" s="2">
        <v>2</v>
      </c>
      <c r="D487" s="9">
        <v>74</v>
      </c>
      <c r="E487" s="3" t="s">
        <v>53</v>
      </c>
      <c r="F487" s="3">
        <f t="shared" si="64"/>
        <v>2</v>
      </c>
      <c r="G487" s="12"/>
      <c r="H487" s="3" t="s">
        <v>54</v>
      </c>
      <c r="I487" s="3">
        <f t="shared" si="59"/>
        <v>1</v>
      </c>
      <c r="J487" s="3" t="s">
        <v>57</v>
      </c>
      <c r="K487" s="3">
        <v>3</v>
      </c>
      <c r="L487" s="6" t="s">
        <v>154</v>
      </c>
      <c r="M487" s="3">
        <v>-55</v>
      </c>
      <c r="N487" s="3">
        <f t="shared" si="60"/>
        <v>-0.55000000000000004</v>
      </c>
      <c r="O487" s="3">
        <v>1</v>
      </c>
      <c r="P487" s="3">
        <v>0.01</v>
      </c>
      <c r="Q487" s="17">
        <v>-6.6666666666666624E-2</v>
      </c>
      <c r="R487" s="21">
        <v>0.49295969334141232</v>
      </c>
      <c r="S487" s="3">
        <v>3</v>
      </c>
      <c r="T487" s="3">
        <v>270.3</v>
      </c>
      <c r="U487" s="3">
        <v>309.64</v>
      </c>
      <c r="V487" s="26">
        <v>-3.6626448434118303E-2</v>
      </c>
      <c r="W487" s="18">
        <v>-1.70102373084806</v>
      </c>
      <c r="X487" s="18">
        <v>-1.32819702287663</v>
      </c>
      <c r="Y487" s="18">
        <v>-1.1349678588501699</v>
      </c>
      <c r="Z487" s="18">
        <v>0.57457014655582705</v>
      </c>
      <c r="AA487" s="18">
        <v>0.54976411047209595</v>
      </c>
      <c r="AB487" s="18">
        <v>-0.49859125961705097</v>
      </c>
      <c r="AC487" s="18">
        <v>-0.75877408267340396</v>
      </c>
      <c r="AD487" s="18">
        <v>-0.49235004143004601</v>
      </c>
      <c r="AE487" s="21">
        <v>-0.50618367840321099</v>
      </c>
      <c r="AF487" s="3">
        <v>1.3123100000000001</v>
      </c>
      <c r="AG487" s="3">
        <v>6.6479899999999995E-2</v>
      </c>
      <c r="AH487" s="3">
        <v>2.8541599999999998</v>
      </c>
      <c r="AI487" s="3">
        <v>3.4791500000000002</v>
      </c>
      <c r="AJ487" s="3">
        <v>0.14152200000000001</v>
      </c>
      <c r="AK487" s="3">
        <v>1.52484</v>
      </c>
      <c r="AL487" s="3">
        <v>0</v>
      </c>
      <c r="AM487" s="3">
        <v>0</v>
      </c>
      <c r="AN487" s="3">
        <v>-0.46600999999999998</v>
      </c>
      <c r="AO487" s="3">
        <v>0.57985799999999998</v>
      </c>
      <c r="AP487" s="3">
        <v>7.21556E-2</v>
      </c>
      <c r="AQ487" s="3">
        <v>2.2819199999999999</v>
      </c>
      <c r="AR487" s="3">
        <v>0</v>
      </c>
      <c r="AS487" s="3">
        <v>0.11171399999999999</v>
      </c>
      <c r="AT487" s="3">
        <v>0.43119200000000002</v>
      </c>
      <c r="AU487" s="3">
        <v>8.3621599999999994</v>
      </c>
      <c r="AV487" s="3">
        <v>7.8728699999999999E-2</v>
      </c>
      <c r="AW487" s="3">
        <v>0.74096300000000004</v>
      </c>
      <c r="AX487" s="3">
        <v>0</v>
      </c>
      <c r="AY487" s="3">
        <v>2.0702000000000002E-2</v>
      </c>
      <c r="AZ487" s="21">
        <v>-0.51581699999999997</v>
      </c>
      <c r="BA487" s="3">
        <v>39.340000000000003</v>
      </c>
      <c r="BB487" s="3">
        <v>3</v>
      </c>
    </row>
    <row r="488" spans="1:54" ht="126" customHeight="1" x14ac:dyDescent="0.25">
      <c r="A488" s="2">
        <v>486</v>
      </c>
      <c r="B488" s="3">
        <v>12</v>
      </c>
      <c r="C488" s="2">
        <v>2</v>
      </c>
      <c r="D488" s="9">
        <v>74</v>
      </c>
      <c r="E488" s="3" t="s">
        <v>53</v>
      </c>
      <c r="F488" s="3">
        <f t="shared" si="64"/>
        <v>2</v>
      </c>
      <c r="G488" s="12"/>
      <c r="H488" s="3" t="s">
        <v>54</v>
      </c>
      <c r="I488" s="3">
        <f t="shared" si="59"/>
        <v>1</v>
      </c>
      <c r="J488" s="3" t="s">
        <v>58</v>
      </c>
      <c r="K488" s="3">
        <v>4</v>
      </c>
      <c r="L488" s="6" t="s">
        <v>207</v>
      </c>
      <c r="M488" s="3">
        <v>-55</v>
      </c>
      <c r="N488" s="3">
        <f t="shared" si="60"/>
        <v>-0.55000000000000004</v>
      </c>
      <c r="O488" s="3">
        <v>1</v>
      </c>
      <c r="P488" s="3">
        <v>0.01</v>
      </c>
      <c r="Q488" s="17">
        <v>2.0833333333333329E-2</v>
      </c>
      <c r="R488" s="21">
        <v>0.1712393549002876</v>
      </c>
      <c r="S488" s="3">
        <v>4</v>
      </c>
      <c r="T488" s="3">
        <v>309.64</v>
      </c>
      <c r="U488" s="3">
        <v>365.77</v>
      </c>
      <c r="V488" s="26">
        <v>-0.238775706668793</v>
      </c>
      <c r="W488" s="18">
        <v>-0.52518718554186195</v>
      </c>
      <c r="X488" s="18">
        <v>-0.249515180602224</v>
      </c>
      <c r="Y488" s="18">
        <v>-1.20075780523905</v>
      </c>
      <c r="Z488" s="18">
        <v>0.42750972323033998</v>
      </c>
      <c r="AA488" s="18">
        <v>1.2450442961653201</v>
      </c>
      <c r="AB488" s="18">
        <v>0.138600505318518</v>
      </c>
      <c r="AC488" s="18">
        <v>-6.5976754319009095E-2</v>
      </c>
      <c r="AD488" s="18">
        <v>-0.59936018273204095</v>
      </c>
      <c r="AE488" s="21">
        <v>0.27564024236738099</v>
      </c>
      <c r="AF488" s="3">
        <v>1.732</v>
      </c>
      <c r="AG488" s="3">
        <v>9.5281500000000005E-2</v>
      </c>
      <c r="AH488" s="3">
        <v>2.9710800000000002</v>
      </c>
      <c r="AI488" s="3">
        <v>13.4711</v>
      </c>
      <c r="AJ488" s="3">
        <v>4.4057100000000002E-2</v>
      </c>
      <c r="AK488" s="3">
        <v>1.37795</v>
      </c>
      <c r="AL488" s="3">
        <v>0</v>
      </c>
      <c r="AM488" s="3">
        <v>0</v>
      </c>
      <c r="AN488" s="3">
        <v>-0.46600999999999998</v>
      </c>
      <c r="AO488" s="3">
        <v>1.41126</v>
      </c>
      <c r="AP488" s="3">
        <v>0.124376</v>
      </c>
      <c r="AQ488" s="3">
        <v>2.3996300000000002</v>
      </c>
      <c r="AR488" s="3">
        <v>0</v>
      </c>
      <c r="AS488" s="3">
        <v>8.1591499999999997E-2</v>
      </c>
      <c r="AT488" s="3">
        <v>-0.315548</v>
      </c>
      <c r="AU488" s="3">
        <v>4.6828200000000004</v>
      </c>
      <c r="AV488" s="3">
        <v>0.122241</v>
      </c>
      <c r="AW488" s="3">
        <v>0.75794600000000001</v>
      </c>
      <c r="AX488" s="3">
        <v>0.74839599999999995</v>
      </c>
      <c r="AY488" s="3">
        <v>0.11085299999999999</v>
      </c>
      <c r="AZ488" s="21">
        <v>2.7263099999999998</v>
      </c>
      <c r="BA488" s="3">
        <v>56.13</v>
      </c>
      <c r="BB488" s="3">
        <v>4</v>
      </c>
    </row>
    <row r="489" spans="1:54" ht="173.25" customHeight="1" x14ac:dyDescent="0.25">
      <c r="A489" s="2">
        <v>487</v>
      </c>
      <c r="B489" s="3">
        <v>12</v>
      </c>
      <c r="C489" s="2">
        <v>2</v>
      </c>
      <c r="D489" s="9">
        <v>74</v>
      </c>
      <c r="E489" s="3" t="s">
        <v>53</v>
      </c>
      <c r="F489" s="3">
        <f t="shared" si="64"/>
        <v>2</v>
      </c>
      <c r="G489" s="12"/>
      <c r="H489" s="3" t="s">
        <v>54</v>
      </c>
      <c r="I489" s="3">
        <f t="shared" si="59"/>
        <v>1</v>
      </c>
      <c r="J489" s="3" t="s">
        <v>59</v>
      </c>
      <c r="K489" s="3">
        <v>5</v>
      </c>
      <c r="L489" s="6" t="s">
        <v>199</v>
      </c>
      <c r="M489" s="3">
        <v>-55</v>
      </c>
      <c r="N489" s="3">
        <f t="shared" si="60"/>
        <v>-0.55000000000000004</v>
      </c>
      <c r="O489" s="3">
        <v>1</v>
      </c>
      <c r="P489" s="3">
        <v>0.01</v>
      </c>
      <c r="Q489" s="17">
        <v>2.99074074074074E-2</v>
      </c>
      <c r="R489" s="21">
        <v>0.31324762913786558</v>
      </c>
      <c r="S489" s="3">
        <v>5</v>
      </c>
      <c r="T489" s="3">
        <v>365.77</v>
      </c>
      <c r="U489" s="3">
        <v>454.16</v>
      </c>
      <c r="V489" s="26">
        <v>-3.0793716002461901E-2</v>
      </c>
      <c r="W489" s="18">
        <v>-0.16561950655104801</v>
      </c>
      <c r="X489" s="18">
        <v>0.100652628990577</v>
      </c>
      <c r="Y489" s="18">
        <v>-0.76866486064098805</v>
      </c>
      <c r="Z489" s="18">
        <v>-0.32342109395537699</v>
      </c>
      <c r="AA489" s="18">
        <v>0.16965860884779399</v>
      </c>
      <c r="AB489" s="18">
        <v>-1.7935101307014201</v>
      </c>
      <c r="AC489" s="18">
        <v>-1.5914062432466001</v>
      </c>
      <c r="AD489" s="18">
        <v>-0.65379577635088104</v>
      </c>
      <c r="AE489" s="21">
        <v>0.68019800013778997</v>
      </c>
      <c r="AF489" s="3">
        <v>0.47532799999999997</v>
      </c>
      <c r="AG489" s="3">
        <v>0.208926</v>
      </c>
      <c r="AH489" s="3">
        <v>3.2711399999999999</v>
      </c>
      <c r="AI489" s="3">
        <v>10.6609</v>
      </c>
      <c r="AJ489" s="3">
        <v>0.214925</v>
      </c>
      <c r="AK489" s="3">
        <v>2.06087</v>
      </c>
      <c r="AL489" s="3">
        <v>0</v>
      </c>
      <c r="AM489" s="3">
        <v>0</v>
      </c>
      <c r="AN489" s="3">
        <v>-0.46600999999999998</v>
      </c>
      <c r="AO489" s="3">
        <v>1.10005</v>
      </c>
      <c r="AP489" s="3">
        <v>5.27836E-2</v>
      </c>
      <c r="AQ489" s="3">
        <v>2.1525500000000002</v>
      </c>
      <c r="AR489" s="3">
        <v>1.7111799999999999</v>
      </c>
      <c r="AS489" s="3">
        <v>9.7209000000000004E-2</v>
      </c>
      <c r="AT489" s="3">
        <v>2.4382100000000002</v>
      </c>
      <c r="AU489" s="3">
        <v>17.274799999999999</v>
      </c>
      <c r="AV489" s="3">
        <v>0.107836</v>
      </c>
      <c r="AW489" s="3">
        <v>0.72667599999999999</v>
      </c>
      <c r="AX489" s="3">
        <v>0</v>
      </c>
      <c r="AY489" s="3">
        <v>0</v>
      </c>
      <c r="AZ489" s="21">
        <v>-0.54392799999999997</v>
      </c>
      <c r="BA489" s="3">
        <v>88.39</v>
      </c>
      <c r="BB489" s="3">
        <v>5</v>
      </c>
    </row>
    <row r="490" spans="1:54" ht="110.25" customHeight="1" x14ac:dyDescent="0.25">
      <c r="A490" s="2">
        <v>488</v>
      </c>
      <c r="B490" s="3">
        <v>12</v>
      </c>
      <c r="C490" s="2">
        <v>2</v>
      </c>
      <c r="D490" s="9">
        <v>74</v>
      </c>
      <c r="E490" s="3" t="s">
        <v>53</v>
      </c>
      <c r="F490" s="3">
        <f t="shared" si="64"/>
        <v>2</v>
      </c>
      <c r="G490" s="12"/>
      <c r="H490" s="3" t="s">
        <v>54</v>
      </c>
      <c r="I490" s="3">
        <f t="shared" si="59"/>
        <v>1</v>
      </c>
      <c r="J490" s="3" t="s">
        <v>60</v>
      </c>
      <c r="K490" s="3">
        <v>6</v>
      </c>
      <c r="L490" s="6" t="s">
        <v>225</v>
      </c>
      <c r="M490" s="3">
        <v>-55</v>
      </c>
      <c r="N490" s="3">
        <f t="shared" si="60"/>
        <v>-0.55000000000000004</v>
      </c>
      <c r="O490" s="3">
        <v>1</v>
      </c>
      <c r="P490" s="3">
        <v>0.01</v>
      </c>
      <c r="Q490" s="17">
        <v>-1.7675264550264538E-2</v>
      </c>
      <c r="R490" s="21">
        <v>0.41189628634899328</v>
      </c>
      <c r="S490" s="3">
        <v>6</v>
      </c>
      <c r="T490" s="3">
        <v>454.16</v>
      </c>
      <c r="U490" s="3">
        <v>520.48</v>
      </c>
      <c r="V490" s="26">
        <v>-0.97721435234596798</v>
      </c>
      <c r="W490" s="18">
        <v>-0.80209203710082</v>
      </c>
      <c r="X490" s="18">
        <v>-0.95515349742284295</v>
      </c>
      <c r="Y490" s="18">
        <v>-0.79240225888020199</v>
      </c>
      <c r="Z490" s="18">
        <v>-2.3293553957305702</v>
      </c>
      <c r="AA490" s="18">
        <v>-2.2560774302059499</v>
      </c>
      <c r="AB490" s="18">
        <v>2.3801323632963702E-2</v>
      </c>
      <c r="AC490" s="18">
        <v>-0.93504795911860505</v>
      </c>
      <c r="AD490" s="18">
        <v>0.84868864239364405</v>
      </c>
      <c r="AE490" s="21">
        <v>-0.23005695484563099</v>
      </c>
      <c r="AF490" s="3">
        <v>0.43425799999999998</v>
      </c>
      <c r="AG490" s="3">
        <v>0.18843099999999999</v>
      </c>
      <c r="AH490" s="3">
        <v>3.3549600000000002</v>
      </c>
      <c r="AI490" s="3">
        <v>9.4632100000000001</v>
      </c>
      <c r="AJ490" s="3">
        <v>0.117228</v>
      </c>
      <c r="AK490" s="3">
        <v>1.5457099999999999</v>
      </c>
      <c r="AL490" s="3">
        <v>0</v>
      </c>
      <c r="AM490" s="3">
        <v>4.7851299999999999E-2</v>
      </c>
      <c r="AN490" s="3">
        <v>-0.36047600000000002</v>
      </c>
      <c r="AO490" s="3">
        <v>1.1037399999999999</v>
      </c>
      <c r="AP490" s="3">
        <v>0.11805400000000001</v>
      </c>
      <c r="AQ490" s="3">
        <v>2.3021400000000001</v>
      </c>
      <c r="AR490" s="3">
        <v>1.57419</v>
      </c>
      <c r="AS490" s="3">
        <v>0.22067700000000001</v>
      </c>
      <c r="AT490" s="3">
        <v>3.1257999999999999</v>
      </c>
      <c r="AU490" s="3">
        <v>30.922799999999999</v>
      </c>
      <c r="AV490" s="3">
        <v>0.150089</v>
      </c>
      <c r="AW490" s="3">
        <v>1.21648</v>
      </c>
      <c r="AX490" s="3">
        <v>0</v>
      </c>
      <c r="AY490" s="3">
        <v>0.175372</v>
      </c>
      <c r="AZ490" s="21">
        <v>-0.171458</v>
      </c>
      <c r="BA490" s="3">
        <v>66.322999999999993</v>
      </c>
      <c r="BB490" s="3">
        <v>6</v>
      </c>
    </row>
    <row r="491" spans="1:54" ht="63" customHeight="1" x14ac:dyDescent="0.25">
      <c r="A491" s="2">
        <v>489</v>
      </c>
      <c r="B491" s="3">
        <v>12</v>
      </c>
      <c r="C491" s="2">
        <v>2</v>
      </c>
      <c r="D491" s="9">
        <v>74</v>
      </c>
      <c r="E491" s="3" t="s">
        <v>53</v>
      </c>
      <c r="F491" s="3">
        <f>IF(E492="Happy", 1,2)</f>
        <v>2</v>
      </c>
      <c r="G491" s="12"/>
      <c r="H491" s="3" t="s">
        <v>54</v>
      </c>
      <c r="I491" s="3">
        <f t="shared" si="59"/>
        <v>1</v>
      </c>
      <c r="J491" s="3" t="s">
        <v>61</v>
      </c>
      <c r="K491" s="3">
        <v>7</v>
      </c>
      <c r="L491" s="6" t="s">
        <v>168</v>
      </c>
      <c r="M491" s="3">
        <v>-55</v>
      </c>
      <c r="N491" s="3">
        <f t="shared" si="60"/>
        <v>-0.55000000000000004</v>
      </c>
      <c r="O491" s="3">
        <v>1</v>
      </c>
      <c r="P491" s="3">
        <v>0.01</v>
      </c>
      <c r="Q491" s="17">
        <v>-5.5277777777777787E-2</v>
      </c>
      <c r="R491" s="21">
        <v>7.817458303117944E-2</v>
      </c>
      <c r="S491" s="3">
        <v>7</v>
      </c>
      <c r="T491" s="3">
        <v>520.48</v>
      </c>
      <c r="U491" s="3">
        <v>561.66999999999996</v>
      </c>
      <c r="V491" s="26">
        <v>-2.7003727906962798</v>
      </c>
      <c r="W491" s="18">
        <v>-2.4203590291530301</v>
      </c>
      <c r="X491" s="18">
        <v>-2.8323120407030999</v>
      </c>
      <c r="Y491" s="18">
        <v>-1.86359753982743</v>
      </c>
      <c r="Z491" s="18">
        <v>-0.37219017160109003</v>
      </c>
      <c r="AA491" s="18">
        <v>-0.30393983522982199</v>
      </c>
      <c r="AB491" s="18">
        <v>7.7590669004382495E-2</v>
      </c>
      <c r="AC491" s="18">
        <v>0.38814483435247799</v>
      </c>
      <c r="AD491" s="18">
        <v>0.103339745151056</v>
      </c>
      <c r="AE491" s="21">
        <v>-0.29908863573502498</v>
      </c>
      <c r="AF491" s="3">
        <v>3.4402300000000001</v>
      </c>
      <c r="AG491" s="3">
        <v>5.3072300000000003E-2</v>
      </c>
      <c r="AH491" s="3">
        <v>2.6777299999999999</v>
      </c>
      <c r="AI491" s="3">
        <v>5.1603500000000002</v>
      </c>
      <c r="AJ491" s="3">
        <v>4.0296499999999999E-2</v>
      </c>
      <c r="AK491" s="3">
        <v>1.3112600000000001</v>
      </c>
      <c r="AL491" s="3">
        <v>0</v>
      </c>
      <c r="AM491" s="3">
        <v>0</v>
      </c>
      <c r="AN491" s="3">
        <v>-0.46600999999999998</v>
      </c>
      <c r="AO491" s="3">
        <v>0.52478100000000005</v>
      </c>
      <c r="AP491" s="3">
        <v>9.7502099999999994E-2</v>
      </c>
      <c r="AQ491" s="3">
        <v>2.5119799999999999</v>
      </c>
      <c r="AR491" s="3">
        <v>0.49562699999999998</v>
      </c>
      <c r="AS491" s="3">
        <v>8.2340800000000006E-2</v>
      </c>
      <c r="AT491" s="3">
        <v>2.15917</v>
      </c>
      <c r="AU491" s="3">
        <v>24.956299999999999</v>
      </c>
      <c r="AV491" s="3">
        <v>0.164382</v>
      </c>
      <c r="AW491" s="3">
        <v>0.74662399999999995</v>
      </c>
      <c r="AX491" s="3">
        <v>0.233236</v>
      </c>
      <c r="AY491" s="3">
        <v>7.9955300000000007E-2</v>
      </c>
      <c r="AZ491" s="21">
        <v>2.58107</v>
      </c>
      <c r="BA491" s="3">
        <v>41.186999999999998</v>
      </c>
      <c r="BB491" s="3">
        <v>7</v>
      </c>
    </row>
    <row r="492" spans="1:54" ht="126" customHeight="1" x14ac:dyDescent="0.25">
      <c r="A492" s="2">
        <v>490</v>
      </c>
      <c r="B492" s="3">
        <v>12</v>
      </c>
      <c r="C492" s="2">
        <v>2</v>
      </c>
      <c r="D492" s="9">
        <v>74</v>
      </c>
      <c r="E492" s="3" t="s">
        <v>53</v>
      </c>
      <c r="F492" s="3">
        <f>IF(E493="Happy", 1,2)</f>
        <v>2</v>
      </c>
      <c r="G492" s="12"/>
      <c r="H492" s="3" t="s">
        <v>54</v>
      </c>
      <c r="I492" s="3">
        <f t="shared" si="59"/>
        <v>1</v>
      </c>
      <c r="J492" s="3" t="s">
        <v>62</v>
      </c>
      <c r="K492" s="3">
        <v>8</v>
      </c>
      <c r="L492" s="6" t="s">
        <v>212</v>
      </c>
      <c r="M492" s="3">
        <v>-55</v>
      </c>
      <c r="N492" s="3">
        <f t="shared" si="60"/>
        <v>-0.55000000000000004</v>
      </c>
      <c r="O492" s="3">
        <v>1</v>
      </c>
      <c r="P492" s="3">
        <v>0.01</v>
      </c>
      <c r="Q492" s="17">
        <v>-4.2362962962962963E-2</v>
      </c>
      <c r="R492" s="21">
        <v>0.2013931241444824</v>
      </c>
      <c r="S492" s="3">
        <v>8</v>
      </c>
      <c r="T492" s="3">
        <v>561.66999999999996</v>
      </c>
      <c r="U492" s="3">
        <v>633.25</v>
      </c>
      <c r="V492" s="26">
        <v>-1.23980691038503</v>
      </c>
      <c r="W492" s="18">
        <v>-0.587368626101335</v>
      </c>
      <c r="X492" s="18">
        <v>-0.84699780028514404</v>
      </c>
      <c r="Y492" s="18">
        <v>-1.7279810844049199</v>
      </c>
      <c r="Z492" s="18">
        <v>-1.2837388391026101</v>
      </c>
      <c r="AA492" s="18">
        <v>-1.0830476890074301</v>
      </c>
      <c r="AB492" s="18">
        <v>0.59706855866284503</v>
      </c>
      <c r="AC492" s="18">
        <v>-0.711403325179085</v>
      </c>
      <c r="AD492" s="18">
        <v>-0.80965837346465597</v>
      </c>
      <c r="AE492" s="21">
        <v>1.24368916274657</v>
      </c>
      <c r="AF492" s="3">
        <v>2.4986000000000002</v>
      </c>
      <c r="AG492" s="3">
        <v>8.3666000000000004E-2</v>
      </c>
      <c r="AH492" s="3">
        <v>2.8822399999999999</v>
      </c>
      <c r="AI492" s="3">
        <v>5.2822800000000001</v>
      </c>
      <c r="AJ492" s="3">
        <v>7.5074000000000002E-2</v>
      </c>
      <c r="AK492" s="3">
        <v>1.3609599999999999</v>
      </c>
      <c r="AL492" s="3">
        <v>2.8507500000000001</v>
      </c>
      <c r="AM492" s="3">
        <v>6.1551399999999999E-2</v>
      </c>
      <c r="AN492" s="3">
        <v>4.2557900000000002</v>
      </c>
      <c r="AO492" s="3">
        <v>2.61599</v>
      </c>
      <c r="AP492" s="3">
        <v>3.7979300000000001E-2</v>
      </c>
      <c r="AQ492" s="3">
        <v>2.0212699999999999</v>
      </c>
      <c r="AR492" s="3">
        <v>0</v>
      </c>
      <c r="AS492" s="3">
        <v>8.8843599999999995E-2</v>
      </c>
      <c r="AT492" s="3">
        <v>-0.77013500000000001</v>
      </c>
      <c r="AU492" s="3">
        <v>10.581300000000001</v>
      </c>
      <c r="AV492" s="3">
        <v>2.42899E-2</v>
      </c>
      <c r="AW492" s="3">
        <v>0.65227500000000005</v>
      </c>
      <c r="AX492" s="3">
        <v>0.77138099999999998</v>
      </c>
      <c r="AY492" s="3">
        <v>0.26515100000000003</v>
      </c>
      <c r="AZ492" s="21">
        <v>2.9803000000000002</v>
      </c>
      <c r="BA492" s="3">
        <v>71.578999999999994</v>
      </c>
      <c r="BB492" s="3">
        <v>8</v>
      </c>
    </row>
    <row r="493" spans="1:54" ht="252" customHeight="1" x14ac:dyDescent="0.25">
      <c r="A493" s="2">
        <v>491</v>
      </c>
      <c r="B493" s="3">
        <v>12</v>
      </c>
      <c r="C493" s="2">
        <v>2</v>
      </c>
      <c r="D493" s="9">
        <v>74</v>
      </c>
      <c r="E493" s="3" t="s">
        <v>53</v>
      </c>
      <c r="F493" s="3">
        <f t="shared" ref="F493:F500" si="65">IF(E493="Happy", 1,2)</f>
        <v>2</v>
      </c>
      <c r="G493" s="12"/>
      <c r="H493" s="3" t="s">
        <v>54</v>
      </c>
      <c r="I493" s="3">
        <f t="shared" si="59"/>
        <v>1</v>
      </c>
      <c r="J493" s="3" t="s">
        <v>63</v>
      </c>
      <c r="K493" s="3">
        <v>9</v>
      </c>
      <c r="L493" s="6" t="s">
        <v>266</v>
      </c>
      <c r="M493" s="3">
        <v>-55</v>
      </c>
      <c r="N493" s="3">
        <f t="shared" si="60"/>
        <v>-0.55000000000000004</v>
      </c>
      <c r="O493" s="3">
        <v>1</v>
      </c>
      <c r="P493" s="3">
        <v>0.01</v>
      </c>
      <c r="Q493" s="17">
        <v>-1.0453216374269001E-2</v>
      </c>
      <c r="R493" s="21">
        <v>0.2119181538498392</v>
      </c>
      <c r="S493" s="3">
        <v>9</v>
      </c>
      <c r="T493" s="3">
        <v>633.25</v>
      </c>
      <c r="U493" s="3">
        <v>783.13</v>
      </c>
      <c r="V493" s="26">
        <v>1.14322308379017</v>
      </c>
      <c r="W493" s="18">
        <v>0.24054676404874301</v>
      </c>
      <c r="X493" s="18">
        <v>0.66446079137617997</v>
      </c>
      <c r="Y493" s="18">
        <v>-0.40398853693043801</v>
      </c>
      <c r="Z493" s="18">
        <v>1.2501819249066201E-2</v>
      </c>
      <c r="AA493" s="18">
        <v>0.12697031371834899</v>
      </c>
      <c r="AB493" s="18">
        <v>-0.80960231444317698</v>
      </c>
      <c r="AC493" s="18">
        <v>0.878249979197536</v>
      </c>
      <c r="AD493" s="18">
        <v>-0.265147350114942</v>
      </c>
      <c r="AE493" s="21">
        <v>0.87605532731235303</v>
      </c>
      <c r="AF493" s="3">
        <v>1.073</v>
      </c>
      <c r="AG493" s="3">
        <v>0.191442</v>
      </c>
      <c r="AH493" s="3">
        <v>3.19068</v>
      </c>
      <c r="AI493" s="3">
        <v>10.313599999999999</v>
      </c>
      <c r="AJ493" s="3">
        <v>7.23187E-2</v>
      </c>
      <c r="AK493" s="3">
        <v>1.3677999999999999</v>
      </c>
      <c r="AL493" s="3">
        <v>0</v>
      </c>
      <c r="AM493" s="3">
        <v>0</v>
      </c>
      <c r="AN493" s="3">
        <v>-0.46600999999999998</v>
      </c>
      <c r="AO493" s="3">
        <v>0.656613</v>
      </c>
      <c r="AP493" s="3">
        <v>7.5806799999999994E-2</v>
      </c>
      <c r="AQ493" s="3">
        <v>2.2214299999999998</v>
      </c>
      <c r="AR493" s="3">
        <v>1.073</v>
      </c>
      <c r="AS493" s="3">
        <v>7.3670700000000006E-2</v>
      </c>
      <c r="AT493" s="3">
        <v>2.1630699999999998</v>
      </c>
      <c r="AU493" s="3">
        <v>9.641</v>
      </c>
      <c r="AV493" s="3">
        <v>4.0766499999999997E-2</v>
      </c>
      <c r="AW493" s="3">
        <v>0.68354499999999996</v>
      </c>
      <c r="AX493" s="3">
        <v>0.90484500000000001</v>
      </c>
      <c r="AY493" s="3">
        <v>0.120541</v>
      </c>
      <c r="AZ493" s="21">
        <v>3.01545</v>
      </c>
      <c r="BA493" s="3">
        <v>149.881</v>
      </c>
      <c r="BB493" s="3">
        <v>9</v>
      </c>
    </row>
    <row r="494" spans="1:54" ht="110.25" customHeight="1" x14ac:dyDescent="0.25">
      <c r="A494" s="2">
        <v>492</v>
      </c>
      <c r="B494" s="3">
        <v>12</v>
      </c>
      <c r="C494" s="2">
        <v>2</v>
      </c>
      <c r="D494" s="9">
        <v>74</v>
      </c>
      <c r="E494" s="3" t="s">
        <v>53</v>
      </c>
      <c r="F494" s="3">
        <f t="shared" si="65"/>
        <v>2</v>
      </c>
      <c r="G494" s="12"/>
      <c r="H494" s="3" t="s">
        <v>54</v>
      </c>
      <c r="I494" s="3">
        <f t="shared" si="59"/>
        <v>1</v>
      </c>
      <c r="J494" s="3" t="s">
        <v>64</v>
      </c>
      <c r="K494" s="3">
        <v>10</v>
      </c>
      <c r="L494" s="6" t="s">
        <v>209</v>
      </c>
      <c r="M494" s="3">
        <v>-55</v>
      </c>
      <c r="N494" s="3">
        <f t="shared" si="60"/>
        <v>-0.55000000000000004</v>
      </c>
      <c r="O494" s="3">
        <v>1</v>
      </c>
      <c r="P494" s="3">
        <v>0.01</v>
      </c>
      <c r="Q494" s="17">
        <v>0.21782407407407409</v>
      </c>
      <c r="R494" s="21">
        <v>0.38018349107071447</v>
      </c>
      <c r="S494" s="3">
        <v>10</v>
      </c>
      <c r="T494" s="3">
        <v>783.13</v>
      </c>
      <c r="U494" s="3">
        <v>865.93</v>
      </c>
      <c r="V494" s="26">
        <v>4.4387813069299099E-2</v>
      </c>
      <c r="W494" s="18">
        <v>0.231811871172724</v>
      </c>
      <c r="X494" s="18">
        <v>0.426849094446691</v>
      </c>
      <c r="Y494" s="18">
        <v>-1.1899735557854301E-2</v>
      </c>
      <c r="Z494" s="18">
        <v>-0.59231006259660501</v>
      </c>
      <c r="AA494" s="18">
        <v>-0.35951516285117502</v>
      </c>
      <c r="AB494" s="18">
        <v>0.52837453015279301</v>
      </c>
      <c r="AC494" s="18">
        <v>-9.9227382175596804E-2</v>
      </c>
      <c r="AD494" s="18">
        <v>0.82139330200356997</v>
      </c>
      <c r="AE494" s="21">
        <v>-0.51581600596917299</v>
      </c>
      <c r="AF494" s="3">
        <v>1.1597</v>
      </c>
      <c r="AG494" s="3">
        <v>7.1846400000000005E-2</v>
      </c>
      <c r="AH494" s="3">
        <v>2.6657500000000001</v>
      </c>
      <c r="AI494" s="3">
        <v>7.2481299999999997</v>
      </c>
      <c r="AJ494" s="3">
        <v>5.6213899999999997E-2</v>
      </c>
      <c r="AK494" s="3">
        <v>1.39418</v>
      </c>
      <c r="AL494" s="3">
        <v>0.20294799999999999</v>
      </c>
      <c r="AM494" s="3">
        <v>0.100725</v>
      </c>
      <c r="AN494" s="3">
        <v>4.4521899999999999</v>
      </c>
      <c r="AO494" s="3">
        <v>0.33341399999999999</v>
      </c>
      <c r="AP494" s="3">
        <v>9.2120099999999996E-2</v>
      </c>
      <c r="AQ494" s="3">
        <v>2.1525500000000002</v>
      </c>
      <c r="AR494" s="3">
        <v>8.6977499999999999E-2</v>
      </c>
      <c r="AS494" s="3">
        <v>2.9439199999999999E-2</v>
      </c>
      <c r="AT494" s="3">
        <v>2.0486900000000001</v>
      </c>
      <c r="AU494" s="3">
        <v>5.5375699999999997</v>
      </c>
      <c r="AV494" s="3">
        <v>7.3955699999999999E-2</v>
      </c>
      <c r="AW494" s="3">
        <v>0.64137200000000005</v>
      </c>
      <c r="AX494" s="3">
        <v>0.20294799999999999</v>
      </c>
      <c r="AY494" s="3">
        <v>0.28295199999999998</v>
      </c>
      <c r="AZ494" s="21">
        <v>3.32735</v>
      </c>
      <c r="BA494" s="3">
        <v>82.8</v>
      </c>
      <c r="BB494" s="3">
        <v>10</v>
      </c>
    </row>
    <row r="495" spans="1:54" ht="189" customHeight="1" x14ac:dyDescent="0.25">
      <c r="A495" s="2">
        <v>493</v>
      </c>
      <c r="B495" s="3">
        <v>12</v>
      </c>
      <c r="C495" s="2">
        <v>2</v>
      </c>
      <c r="D495" s="9">
        <v>74</v>
      </c>
      <c r="E495" s="3" t="s">
        <v>53</v>
      </c>
      <c r="F495" s="3">
        <f t="shared" si="65"/>
        <v>2</v>
      </c>
      <c r="G495" s="12"/>
      <c r="H495" s="3" t="s">
        <v>54</v>
      </c>
      <c r="I495" s="3">
        <f t="shared" si="59"/>
        <v>1</v>
      </c>
      <c r="J495" s="3" t="s">
        <v>65</v>
      </c>
      <c r="K495" s="3">
        <v>11</v>
      </c>
      <c r="L495" s="6" t="s">
        <v>187</v>
      </c>
      <c r="M495" s="3">
        <v>-55</v>
      </c>
      <c r="N495" s="3">
        <f t="shared" si="60"/>
        <v>-0.55000000000000004</v>
      </c>
      <c r="O495" s="3">
        <v>1</v>
      </c>
      <c r="P495" s="3">
        <v>0.01</v>
      </c>
      <c r="Q495" s="17">
        <v>0.25047519841269839</v>
      </c>
      <c r="R495" s="21">
        <v>0.19387658741895311</v>
      </c>
      <c r="S495" s="3">
        <v>11</v>
      </c>
      <c r="T495" s="3">
        <v>865.93</v>
      </c>
      <c r="U495" s="3">
        <v>975.55</v>
      </c>
      <c r="V495" s="26">
        <v>-4.6175937809604203E-2</v>
      </c>
      <c r="W495" s="18">
        <v>8.7554927881212302E-2</v>
      </c>
      <c r="X495" s="18">
        <v>0.53315010058173096</v>
      </c>
      <c r="Y495" s="18">
        <v>0.10564255876881</v>
      </c>
      <c r="Z495" s="18">
        <v>-0.89264472995147404</v>
      </c>
      <c r="AA495" s="18">
        <v>-0.71050092759472605</v>
      </c>
      <c r="AB495" s="18">
        <v>0.26452851708091601</v>
      </c>
      <c r="AC495" s="18">
        <v>0.20367217295633799</v>
      </c>
      <c r="AD495" s="18">
        <v>0.240281708585348</v>
      </c>
      <c r="AE495" s="21">
        <v>9.9047570324742096E-2</v>
      </c>
      <c r="AF495" s="3">
        <v>0.58029200000000003</v>
      </c>
      <c r="AG495" s="3">
        <v>0.14854700000000001</v>
      </c>
      <c r="AH495" s="3">
        <v>3.0714800000000002</v>
      </c>
      <c r="AI495" s="3">
        <v>8.9671500000000002</v>
      </c>
      <c r="AJ495" s="3">
        <v>9.4717599999999999E-2</v>
      </c>
      <c r="AK495" s="3">
        <v>1.41177</v>
      </c>
      <c r="AL495" s="3">
        <v>0</v>
      </c>
      <c r="AM495" s="3">
        <v>0</v>
      </c>
      <c r="AN495" s="3">
        <v>-0.46600999999999998</v>
      </c>
      <c r="AO495" s="3">
        <v>1.48905</v>
      </c>
      <c r="AP495" s="3">
        <v>0.23909</v>
      </c>
      <c r="AQ495" s="3">
        <v>3.0228299999999999</v>
      </c>
      <c r="AR495" s="3">
        <v>1.57664</v>
      </c>
      <c r="AS495" s="3">
        <v>0.325517</v>
      </c>
      <c r="AT495" s="3">
        <v>4.4273699999999998</v>
      </c>
      <c r="AU495" s="3">
        <v>4.9707999999999997</v>
      </c>
      <c r="AV495" s="3">
        <v>6.3796599999999995E-2</v>
      </c>
      <c r="AW495" s="3">
        <v>0.75794600000000001</v>
      </c>
      <c r="AX495" s="3">
        <v>0.16423399999999999</v>
      </c>
      <c r="AY495" s="3">
        <v>0.113959</v>
      </c>
      <c r="AZ495" s="21">
        <v>2.7669199999999998</v>
      </c>
      <c r="BA495" s="3">
        <v>109.62</v>
      </c>
      <c r="BB495" s="3">
        <v>11</v>
      </c>
    </row>
    <row r="496" spans="1:54" ht="110.25" customHeight="1" x14ac:dyDescent="0.25">
      <c r="A496" s="2">
        <v>494</v>
      </c>
      <c r="B496" s="3">
        <v>12</v>
      </c>
      <c r="C496" s="2">
        <v>2</v>
      </c>
      <c r="D496" s="9">
        <v>74</v>
      </c>
      <c r="E496" s="3" t="s">
        <v>53</v>
      </c>
      <c r="F496" s="3">
        <f t="shared" si="65"/>
        <v>2</v>
      </c>
      <c r="G496" s="12"/>
      <c r="H496" s="3" t="s">
        <v>54</v>
      </c>
      <c r="I496" s="3">
        <f t="shared" si="59"/>
        <v>1</v>
      </c>
      <c r="J496" s="3" t="s">
        <v>66</v>
      </c>
      <c r="K496" s="3">
        <v>12</v>
      </c>
      <c r="L496" s="6" t="s">
        <v>180</v>
      </c>
      <c r="M496" s="3">
        <v>-55</v>
      </c>
      <c r="N496" s="3">
        <f t="shared" si="60"/>
        <v>-0.55000000000000004</v>
      </c>
      <c r="O496" s="3">
        <v>1</v>
      </c>
      <c r="P496" s="3">
        <v>0.01</v>
      </c>
      <c r="Q496" s="17">
        <v>0.37276620370370372</v>
      </c>
      <c r="R496" s="21">
        <v>0.30243401402680148</v>
      </c>
      <c r="S496" s="3">
        <v>12</v>
      </c>
      <c r="T496" s="3">
        <v>975.55</v>
      </c>
      <c r="U496" s="3">
        <v>1044.6600000000001</v>
      </c>
      <c r="V496" s="26">
        <v>0.44978111685626498</v>
      </c>
      <c r="W496" s="18">
        <v>-0.63201779955772597</v>
      </c>
      <c r="X496" s="18">
        <v>0.40529815787332102</v>
      </c>
      <c r="Y496" s="18">
        <v>0.439171078190847</v>
      </c>
      <c r="Z496" s="18">
        <v>0.59302331107042106</v>
      </c>
      <c r="AA496" s="18">
        <v>0.466184269935636</v>
      </c>
      <c r="AB496" s="18">
        <v>0.66271540750899804</v>
      </c>
      <c r="AC496" s="18">
        <v>-0.33790312185850502</v>
      </c>
      <c r="AD496" s="18">
        <v>-3.6393787186765399E-2</v>
      </c>
      <c r="AE496" s="21">
        <v>0.98843248224857805</v>
      </c>
      <c r="AF496" s="3">
        <v>0.43427900000000003</v>
      </c>
      <c r="AG496" s="3">
        <v>0.11404400000000001</v>
      </c>
      <c r="AH496" s="3">
        <v>2.94929</v>
      </c>
      <c r="AI496" s="3">
        <v>5.2634600000000002</v>
      </c>
      <c r="AJ496" s="3">
        <v>7.5580499999999995E-2</v>
      </c>
      <c r="AK496" s="3">
        <v>1.4430400000000001</v>
      </c>
      <c r="AL496" s="3">
        <v>0</v>
      </c>
      <c r="AM496" s="3">
        <v>4.2318399999999999E-2</v>
      </c>
      <c r="AN496" s="3">
        <v>-0.36756</v>
      </c>
      <c r="AO496" s="3">
        <v>0.121598</v>
      </c>
      <c r="AP496" s="3">
        <v>4.1576099999999998E-2</v>
      </c>
      <c r="AQ496" s="3">
        <v>2.00651</v>
      </c>
      <c r="AR496" s="3">
        <v>0</v>
      </c>
      <c r="AS496" s="3">
        <v>4.39697E-2</v>
      </c>
      <c r="AT496" s="3">
        <v>-0.97971900000000001</v>
      </c>
      <c r="AU496" s="3">
        <v>10.9786</v>
      </c>
      <c r="AV496" s="3">
        <v>8.8245500000000004E-2</v>
      </c>
      <c r="AW496" s="3">
        <v>0.84783500000000001</v>
      </c>
      <c r="AX496" s="3">
        <v>4.0474800000000002</v>
      </c>
      <c r="AY496" s="3">
        <v>3.8606700000000001E-2</v>
      </c>
      <c r="AZ496" s="21">
        <v>2.61788</v>
      </c>
      <c r="BA496" s="3">
        <v>69.11</v>
      </c>
      <c r="BB496" s="3">
        <v>12</v>
      </c>
    </row>
    <row r="497" spans="1:54" ht="110.25" customHeight="1" x14ac:dyDescent="0.25">
      <c r="A497" s="2">
        <v>495</v>
      </c>
      <c r="B497" s="3">
        <v>12</v>
      </c>
      <c r="C497" s="2">
        <v>2</v>
      </c>
      <c r="D497" s="9">
        <v>74</v>
      </c>
      <c r="E497" s="3" t="s">
        <v>53</v>
      </c>
      <c r="F497" s="3">
        <f t="shared" si="65"/>
        <v>2</v>
      </c>
      <c r="G497" s="12"/>
      <c r="H497" s="3" t="s">
        <v>54</v>
      </c>
      <c r="I497" s="3">
        <f t="shared" si="59"/>
        <v>1</v>
      </c>
      <c r="J497" s="3" t="s">
        <v>67</v>
      </c>
      <c r="K497" s="3">
        <v>13</v>
      </c>
      <c r="L497" s="6" t="s">
        <v>209</v>
      </c>
      <c r="M497" s="3">
        <v>-55</v>
      </c>
      <c r="N497" s="3">
        <f t="shared" si="60"/>
        <v>-0.55000000000000004</v>
      </c>
      <c r="O497" s="3">
        <v>1</v>
      </c>
      <c r="P497" s="3">
        <v>0.01</v>
      </c>
      <c r="Q497" s="17">
        <v>0.2061944444444444</v>
      </c>
      <c r="R497" s="21">
        <v>0.37322667747332561</v>
      </c>
      <c r="S497" s="3">
        <v>13</v>
      </c>
      <c r="T497" s="3">
        <v>1044.6600000000001</v>
      </c>
      <c r="U497" s="3">
        <v>1127.5899999999999</v>
      </c>
      <c r="V497" s="26">
        <v>-9.9461720529090594E-2</v>
      </c>
      <c r="W497" s="18">
        <v>-0.184688814889826</v>
      </c>
      <c r="X497" s="18">
        <v>0.50424842920438395</v>
      </c>
      <c r="Y497" s="18">
        <v>0.23445108017854899</v>
      </c>
      <c r="Z497" s="18">
        <v>0.63802643677438198</v>
      </c>
      <c r="AA497" s="18">
        <v>0.55880981597122403</v>
      </c>
      <c r="AB497" s="18">
        <v>-2.16347748772036</v>
      </c>
      <c r="AC497" s="18">
        <v>0.54118882010334901</v>
      </c>
      <c r="AD497" s="18">
        <v>0.52610734687458804</v>
      </c>
      <c r="AE497" s="21">
        <v>-0.135339067113669</v>
      </c>
      <c r="AF497" s="3">
        <v>1.05644</v>
      </c>
      <c r="AG497" s="3">
        <v>0.119004</v>
      </c>
      <c r="AH497" s="3">
        <v>3.0077199999999999</v>
      </c>
      <c r="AI497" s="3">
        <v>1.70767</v>
      </c>
      <c r="AJ497" s="3">
        <v>0.217365</v>
      </c>
      <c r="AK497" s="3">
        <v>1.6077600000000001</v>
      </c>
      <c r="AL497" s="3">
        <v>0</v>
      </c>
      <c r="AM497" s="3">
        <v>0</v>
      </c>
      <c r="AN497" s="3">
        <v>-0.46600999999999998</v>
      </c>
      <c r="AO497" s="3">
        <v>1.5050699999999999</v>
      </c>
      <c r="AP497" s="3">
        <v>1.7606799999999999E-2</v>
      </c>
      <c r="AQ497" s="3">
        <v>2.1019800000000002</v>
      </c>
      <c r="AR497" s="3">
        <v>7.2503599999999997</v>
      </c>
      <c r="AS497" s="3">
        <v>0.18663399999999999</v>
      </c>
      <c r="AT497" s="3">
        <v>2.9174699999999998</v>
      </c>
      <c r="AU497" s="3">
        <v>14.1389</v>
      </c>
      <c r="AV497" s="3">
        <v>8.6931800000000004E-2</v>
      </c>
      <c r="AW497" s="3">
        <v>0.95742799999999995</v>
      </c>
      <c r="AX497" s="3">
        <v>3.4587599999999998</v>
      </c>
      <c r="AY497" s="3">
        <v>5.13809E-2</v>
      </c>
      <c r="AZ497" s="21">
        <v>2.4583200000000001</v>
      </c>
      <c r="BA497" s="3">
        <v>82.93</v>
      </c>
      <c r="BB497" s="3">
        <v>13</v>
      </c>
    </row>
    <row r="498" spans="1:54" ht="63" customHeight="1" x14ac:dyDescent="0.25">
      <c r="A498" s="2">
        <v>496</v>
      </c>
      <c r="B498" s="3">
        <v>12</v>
      </c>
      <c r="C498" s="2">
        <v>2</v>
      </c>
      <c r="D498" s="9">
        <v>74</v>
      </c>
      <c r="E498" s="3" t="s">
        <v>53</v>
      </c>
      <c r="F498" s="3">
        <f t="shared" si="65"/>
        <v>2</v>
      </c>
      <c r="G498" s="11" t="s">
        <v>76</v>
      </c>
      <c r="H498" s="3" t="s">
        <v>76</v>
      </c>
      <c r="I498" s="3">
        <f t="shared" si="59"/>
        <v>2</v>
      </c>
      <c r="J498" s="3" t="s">
        <v>77</v>
      </c>
      <c r="K498" s="3">
        <v>1</v>
      </c>
      <c r="L498" s="6" t="s">
        <v>175</v>
      </c>
      <c r="M498" s="3">
        <v>-93</v>
      </c>
      <c r="N498" s="3">
        <f t="shared" si="60"/>
        <v>-0.93</v>
      </c>
      <c r="O498" s="3">
        <v>-74</v>
      </c>
      <c r="P498" s="3">
        <v>-0.74</v>
      </c>
      <c r="Q498" s="17">
        <v>0.26750000000000002</v>
      </c>
      <c r="R498" s="21">
        <v>0.26569484375877528</v>
      </c>
      <c r="S498" s="3">
        <v>3</v>
      </c>
      <c r="T498" s="3">
        <v>40.409999999999997</v>
      </c>
      <c r="U498" s="3">
        <v>72.7</v>
      </c>
      <c r="V498" s="26">
        <v>8.1168986983750302E-2</v>
      </c>
      <c r="W498" s="18">
        <v>-8.3914347827020105E-3</v>
      </c>
      <c r="X498" s="18">
        <v>-0.41065130779078901</v>
      </c>
      <c r="Y498" s="18">
        <v>1.2952838420974899</v>
      </c>
      <c r="Z498" s="18">
        <v>-0.73918218832500404</v>
      </c>
      <c r="AA498" s="18">
        <v>-1.5115415193633699</v>
      </c>
      <c r="AB498" s="18">
        <v>1.91318520132215</v>
      </c>
      <c r="AC498" s="18">
        <v>-3.1942687011552899</v>
      </c>
      <c r="AD498" s="18">
        <v>-0.64092354196237999</v>
      </c>
      <c r="AE498" s="21">
        <v>2.3722768758917998</v>
      </c>
      <c r="AF498" s="3">
        <v>6.0632400000000004</v>
      </c>
      <c r="AG498" s="3">
        <v>0.46342699999999998</v>
      </c>
      <c r="AH498" s="3">
        <v>3.5541900000000002</v>
      </c>
      <c r="AI498" s="3">
        <v>6.2120300000000004</v>
      </c>
      <c r="AJ498" s="3">
        <v>0.26132499999999997</v>
      </c>
      <c r="AK498" s="3">
        <v>1.98305</v>
      </c>
      <c r="AL498" s="3">
        <v>0</v>
      </c>
      <c r="AM498" s="3">
        <v>0.22727600000000001</v>
      </c>
      <c r="AN498" s="3">
        <v>0.37389099999999997</v>
      </c>
      <c r="AO498" s="3">
        <v>1.8226899999999999</v>
      </c>
      <c r="AP498" s="3">
        <v>0.178674</v>
      </c>
      <c r="AQ498" s="3">
        <v>2.05166</v>
      </c>
      <c r="AR498" s="3">
        <v>0.223187</v>
      </c>
      <c r="AS498" s="3">
        <v>9.1140899999999997E-2</v>
      </c>
      <c r="AT498" s="3">
        <v>1.7392799999999999</v>
      </c>
      <c r="AU498" s="3">
        <v>12.61</v>
      </c>
      <c r="AV498" s="3">
        <v>5.7652500000000002E-2</v>
      </c>
      <c r="AW498" s="3">
        <v>0.77583299999999999</v>
      </c>
      <c r="AX498" s="3">
        <v>0</v>
      </c>
      <c r="AY498" s="3">
        <v>4.8106999999999997E-2</v>
      </c>
      <c r="AZ498" s="21">
        <v>-0.46396500000000002</v>
      </c>
      <c r="BA498" s="3">
        <v>32.292000000000002</v>
      </c>
      <c r="BB498" s="3">
        <v>1</v>
      </c>
    </row>
    <row r="499" spans="1:54" ht="267.75" customHeight="1" x14ac:dyDescent="0.25">
      <c r="A499" s="2">
        <v>497</v>
      </c>
      <c r="B499" s="3">
        <v>12</v>
      </c>
      <c r="C499" s="2">
        <v>2</v>
      </c>
      <c r="D499" s="9">
        <v>74</v>
      </c>
      <c r="E499" s="3" t="s">
        <v>53</v>
      </c>
      <c r="F499" s="3">
        <f t="shared" si="65"/>
        <v>2</v>
      </c>
      <c r="G499" s="12"/>
      <c r="H499" s="3" t="s">
        <v>76</v>
      </c>
      <c r="I499" s="3">
        <f t="shared" si="59"/>
        <v>2</v>
      </c>
      <c r="J499" s="3" t="s">
        <v>106</v>
      </c>
      <c r="K499" s="3">
        <v>2</v>
      </c>
      <c r="L499" s="6" t="s">
        <v>266</v>
      </c>
      <c r="M499" s="3">
        <v>-93</v>
      </c>
      <c r="N499" s="3">
        <f t="shared" si="60"/>
        <v>-0.93</v>
      </c>
      <c r="O499" s="3">
        <v>-74</v>
      </c>
      <c r="P499" s="3">
        <v>-0.74</v>
      </c>
      <c r="Q499" s="17">
        <v>-0.1192279942279942</v>
      </c>
      <c r="R499" s="21">
        <v>0.33048055293635969</v>
      </c>
      <c r="S499" s="3">
        <v>4</v>
      </c>
      <c r="T499" s="3">
        <v>72.7</v>
      </c>
      <c r="U499" s="3">
        <v>222.34</v>
      </c>
      <c r="V499" s="26">
        <v>-0.132765334728768</v>
      </c>
      <c r="W499" s="18">
        <v>-0.67781662987333502</v>
      </c>
      <c r="X499" s="18">
        <v>-0.84977983678913405</v>
      </c>
      <c r="Y499" s="18">
        <v>-2.3226209844584698E-2</v>
      </c>
      <c r="Z499" s="18">
        <v>0.75138159022117301</v>
      </c>
      <c r="AA499" s="18">
        <v>0.60874706687736801</v>
      </c>
      <c r="AB499" s="18">
        <v>-0.34219145121567102</v>
      </c>
      <c r="AC499" s="18">
        <v>-0.34245800238680402</v>
      </c>
      <c r="AD499" s="18">
        <v>-0.35184107328568798</v>
      </c>
      <c r="AE499" s="21">
        <v>-0.61695544541177505</v>
      </c>
      <c r="AF499" s="3">
        <v>1.9248799999999999</v>
      </c>
      <c r="AG499" s="3">
        <v>7.3120900000000003E-2</v>
      </c>
      <c r="AH499" s="3">
        <v>2.61999</v>
      </c>
      <c r="AI499" s="3">
        <v>9.9933200000000006</v>
      </c>
      <c r="AJ499" s="3">
        <v>0.130413</v>
      </c>
      <c r="AK499" s="3">
        <v>1.5114799999999999</v>
      </c>
      <c r="AL499" s="3">
        <v>0</v>
      </c>
      <c r="AM499" s="3">
        <v>6.1986799999999998E-3</v>
      </c>
      <c r="AN499" s="3">
        <v>-0.46894799999999998</v>
      </c>
      <c r="AO499" s="3">
        <v>1.4998</v>
      </c>
      <c r="AP499" s="3">
        <v>9.9102399999999993E-2</v>
      </c>
      <c r="AQ499" s="3">
        <v>1.81168</v>
      </c>
      <c r="AR499" s="3">
        <v>2.3178700000000001</v>
      </c>
      <c r="AS499" s="3">
        <v>3.6147800000000001E-2</v>
      </c>
      <c r="AT499" s="3">
        <v>1.51999</v>
      </c>
      <c r="AU499" s="3">
        <v>10.9878</v>
      </c>
      <c r="AV499" s="3">
        <v>9.2508900000000005E-2</v>
      </c>
      <c r="AW499" s="3">
        <v>0.91146000000000005</v>
      </c>
      <c r="AX499" s="3">
        <v>4.8121900000000002E-2</v>
      </c>
      <c r="AY499" s="3">
        <v>6.21021E-2</v>
      </c>
      <c r="AZ499" s="21">
        <v>2.4168099999999999</v>
      </c>
      <c r="BA499" s="3">
        <v>149.63999999999999</v>
      </c>
      <c r="BB499" s="3">
        <v>2</v>
      </c>
    </row>
    <row r="500" spans="1:54" ht="157.5" customHeight="1" x14ac:dyDescent="0.25">
      <c r="A500" s="2">
        <v>498</v>
      </c>
      <c r="B500" s="3">
        <v>12</v>
      </c>
      <c r="C500" s="2">
        <v>2</v>
      </c>
      <c r="D500" s="9">
        <v>74</v>
      </c>
      <c r="E500" s="3" t="s">
        <v>53</v>
      </c>
      <c r="F500" s="3">
        <f t="shared" si="65"/>
        <v>2</v>
      </c>
      <c r="G500" s="12"/>
      <c r="H500" s="3" t="s">
        <v>76</v>
      </c>
      <c r="I500" s="3">
        <f t="shared" si="59"/>
        <v>2</v>
      </c>
      <c r="J500" s="3" t="s">
        <v>79</v>
      </c>
      <c r="K500" s="3">
        <v>3</v>
      </c>
      <c r="L500" s="6" t="s">
        <v>209</v>
      </c>
      <c r="M500" s="3">
        <v>-93</v>
      </c>
      <c r="N500" s="3">
        <f t="shared" si="60"/>
        <v>-0.93</v>
      </c>
      <c r="O500" s="3">
        <v>-74</v>
      </c>
      <c r="P500" s="3">
        <v>-0.74</v>
      </c>
      <c r="Q500" s="17">
        <v>-0.14205782312925169</v>
      </c>
      <c r="R500" s="21">
        <v>0.25612357429444449</v>
      </c>
      <c r="S500" s="3">
        <v>5</v>
      </c>
      <c r="T500" s="3">
        <v>222.34</v>
      </c>
      <c r="U500" s="3">
        <v>305.02999999999997</v>
      </c>
      <c r="V500" s="26">
        <v>-7.6038791868210998E-2</v>
      </c>
      <c r="W500" s="18">
        <v>0.15895861585485299</v>
      </c>
      <c r="X500" s="18">
        <v>-0.48660770727035102</v>
      </c>
      <c r="Y500" s="18">
        <v>0.14124865612762999</v>
      </c>
      <c r="Z500" s="18">
        <v>0.860782494129122</v>
      </c>
      <c r="AA500" s="18">
        <v>0.20305337093018899</v>
      </c>
      <c r="AB500" s="18">
        <v>0.81792284125928705</v>
      </c>
      <c r="AC500" s="18">
        <v>-0.49823491645465701</v>
      </c>
      <c r="AD500" s="18">
        <v>-0.33090430650921099</v>
      </c>
      <c r="AE500" s="21">
        <v>-1.09215027199924</v>
      </c>
      <c r="AF500" s="3">
        <v>3.9622600000000001</v>
      </c>
      <c r="AG500" s="3">
        <v>0.367006</v>
      </c>
      <c r="AH500" s="3">
        <v>3.4210799999999999</v>
      </c>
      <c r="AI500" s="3">
        <v>12.525399999999999</v>
      </c>
      <c r="AJ500" s="3">
        <v>0.24284600000000001</v>
      </c>
      <c r="AK500" s="3">
        <v>2.1286</v>
      </c>
      <c r="AL500" s="3">
        <v>0</v>
      </c>
      <c r="AM500" s="3">
        <v>0</v>
      </c>
      <c r="AN500" s="3">
        <v>-0.47564600000000001</v>
      </c>
      <c r="AO500" s="3">
        <v>0.52249599999999996</v>
      </c>
      <c r="AP500" s="3">
        <v>4.7366499999999999E-2</v>
      </c>
      <c r="AQ500" s="3">
        <v>1.69937</v>
      </c>
      <c r="AR500" s="3">
        <v>0</v>
      </c>
      <c r="AS500" s="3">
        <v>4.38529E-3</v>
      </c>
      <c r="AT500" s="3">
        <v>-0.91414600000000001</v>
      </c>
      <c r="AU500" s="3">
        <v>7.4600900000000001</v>
      </c>
      <c r="AV500" s="3">
        <v>0.17824699999999999</v>
      </c>
      <c r="AW500" s="3">
        <v>1.51152</v>
      </c>
      <c r="AX500" s="3">
        <v>0.11611</v>
      </c>
      <c r="AY500" s="3">
        <v>0.17935899999999999</v>
      </c>
      <c r="AZ500" s="21">
        <v>2.6334900000000001</v>
      </c>
      <c r="BA500" s="3">
        <v>82.69</v>
      </c>
      <c r="BB500" s="3">
        <v>3</v>
      </c>
    </row>
    <row r="501" spans="1:54" ht="110.25" customHeight="1" x14ac:dyDescent="0.25">
      <c r="A501" s="2">
        <v>499</v>
      </c>
      <c r="B501" s="3">
        <v>12</v>
      </c>
      <c r="C501" s="2">
        <v>2</v>
      </c>
      <c r="D501" s="9">
        <v>74</v>
      </c>
      <c r="E501" s="3" t="s">
        <v>53</v>
      </c>
      <c r="F501" s="3">
        <f>IF(E512="Happy", 1,2)</f>
        <v>1</v>
      </c>
      <c r="G501" s="12"/>
      <c r="H501" s="3" t="s">
        <v>76</v>
      </c>
      <c r="I501" s="3">
        <f t="shared" si="59"/>
        <v>2</v>
      </c>
      <c r="J501" s="3" t="s">
        <v>80</v>
      </c>
      <c r="K501" s="3">
        <v>4</v>
      </c>
      <c r="L501" s="6" t="s">
        <v>208</v>
      </c>
      <c r="M501" s="3">
        <v>-93</v>
      </c>
      <c r="N501" s="3">
        <f t="shared" si="60"/>
        <v>-0.93</v>
      </c>
      <c r="O501" s="3">
        <v>-74</v>
      </c>
      <c r="P501" s="3">
        <v>-0.74</v>
      </c>
      <c r="Q501" s="17">
        <v>2.7666666666666669E-2</v>
      </c>
      <c r="R501" s="21">
        <v>0.20115170378723601</v>
      </c>
      <c r="S501" s="3">
        <v>6</v>
      </c>
      <c r="T501" s="3">
        <v>305.02999999999997</v>
      </c>
      <c r="U501" s="3">
        <v>359.27</v>
      </c>
      <c r="V501" s="26">
        <v>8.7360515258993299E-2</v>
      </c>
      <c r="W501" s="18">
        <v>-0.41879394098331002</v>
      </c>
      <c r="X501" s="18">
        <v>-0.40927998220388101</v>
      </c>
      <c r="Y501" s="18">
        <v>0.14757461251117701</v>
      </c>
      <c r="Z501" s="18">
        <v>1.39950191939701</v>
      </c>
      <c r="AA501" s="18">
        <v>1.5988181208229899</v>
      </c>
      <c r="AB501" s="18">
        <v>1.2608237811032601</v>
      </c>
      <c r="AC501" s="18">
        <v>-0.65492280662816804</v>
      </c>
      <c r="AD501" s="18">
        <v>-0.14448953861791</v>
      </c>
      <c r="AE501" s="21">
        <v>-1.0359616945311301</v>
      </c>
      <c r="AF501" s="3">
        <v>3.3862000000000001</v>
      </c>
      <c r="AG501" s="3">
        <v>8.0703399999999995E-2</v>
      </c>
      <c r="AH501" s="3">
        <v>2.5052699999999999</v>
      </c>
      <c r="AI501" s="3">
        <v>9.8266299999999998</v>
      </c>
      <c r="AJ501" s="3">
        <v>9.9694000000000005E-2</v>
      </c>
      <c r="AK501" s="3">
        <v>1.51928</v>
      </c>
      <c r="AL501" s="3">
        <v>0</v>
      </c>
      <c r="AM501" s="3">
        <v>0</v>
      </c>
      <c r="AN501" s="3">
        <v>-0.47564600000000001</v>
      </c>
      <c r="AO501" s="3">
        <v>0</v>
      </c>
      <c r="AP501" s="3">
        <v>0.18784300000000001</v>
      </c>
      <c r="AQ501" s="3">
        <v>-0.55438399999999999</v>
      </c>
      <c r="AR501" s="3">
        <v>0</v>
      </c>
      <c r="AS501" s="3">
        <v>0.138096</v>
      </c>
      <c r="AT501" s="3">
        <v>-0.66269100000000003</v>
      </c>
      <c r="AU501" s="3">
        <v>1.9254899999999999</v>
      </c>
      <c r="AV501" s="3">
        <v>0.16620799999999999</v>
      </c>
      <c r="AW501" s="3">
        <v>1.06593</v>
      </c>
      <c r="AX501" s="3">
        <v>0.73035799999999995</v>
      </c>
      <c r="AY501" s="3">
        <v>0.14360200000000001</v>
      </c>
      <c r="AZ501" s="21">
        <v>2.5768200000000001</v>
      </c>
      <c r="BA501" s="3">
        <v>54.244999999999997</v>
      </c>
      <c r="BB501" s="3">
        <v>4</v>
      </c>
    </row>
    <row r="502" spans="1:54" ht="63" customHeight="1" x14ac:dyDescent="0.25">
      <c r="A502" s="2">
        <v>500</v>
      </c>
      <c r="B502" s="3">
        <v>12</v>
      </c>
      <c r="C502" s="2">
        <v>2</v>
      </c>
      <c r="D502" s="9">
        <v>74</v>
      </c>
      <c r="E502" s="3" t="s">
        <v>53</v>
      </c>
      <c r="F502" s="3">
        <f>IF(E513="Happy", 1,2)</f>
        <v>1</v>
      </c>
      <c r="G502" s="12"/>
      <c r="H502" s="3" t="s">
        <v>76</v>
      </c>
      <c r="I502" s="3">
        <f t="shared" si="59"/>
        <v>2</v>
      </c>
      <c r="J502" s="3" t="s">
        <v>81</v>
      </c>
      <c r="K502" s="3">
        <v>5</v>
      </c>
      <c r="L502" s="6" t="s">
        <v>160</v>
      </c>
      <c r="M502" s="3">
        <v>-93</v>
      </c>
      <c r="N502" s="3">
        <f t="shared" si="60"/>
        <v>-0.93</v>
      </c>
      <c r="O502" s="3">
        <v>-74</v>
      </c>
      <c r="P502" s="3">
        <v>-0.74</v>
      </c>
      <c r="Q502" s="17">
        <v>-0.14499999999999999</v>
      </c>
      <c r="R502" s="21">
        <v>0.25367849293500971</v>
      </c>
      <c r="S502" s="3">
        <v>7</v>
      </c>
      <c r="T502" s="3">
        <v>359.27</v>
      </c>
      <c r="U502" s="3">
        <v>387.4</v>
      </c>
      <c r="V502" s="26">
        <v>1.14000312109131</v>
      </c>
      <c r="W502" s="18">
        <v>1.6108752588862201</v>
      </c>
      <c r="X502" s="18">
        <v>1.0503367734970099</v>
      </c>
      <c r="Y502" s="18">
        <v>-1.0275470947371801</v>
      </c>
      <c r="Z502" s="18">
        <v>1.5672750784021401</v>
      </c>
      <c r="AA502" s="18">
        <v>1.61963563484838</v>
      </c>
      <c r="AB502" s="18">
        <v>-0.63670799003504397</v>
      </c>
      <c r="AC502" s="18">
        <v>1.70359433092545</v>
      </c>
      <c r="AD502" s="18">
        <v>-0.86145748534127298</v>
      </c>
      <c r="AE502" s="21">
        <v>-1.9751136322124298E-2</v>
      </c>
      <c r="AF502" s="3">
        <v>4.09964</v>
      </c>
      <c r="AG502" s="3">
        <v>0.22645499999999999</v>
      </c>
      <c r="AH502" s="3">
        <v>3.0374599999999998</v>
      </c>
      <c r="AI502" s="3">
        <v>5.3380799999999997</v>
      </c>
      <c r="AJ502" s="3">
        <v>0.113209</v>
      </c>
      <c r="AK502" s="3">
        <v>1.5231300000000001</v>
      </c>
      <c r="AL502" s="3">
        <v>0</v>
      </c>
      <c r="AM502" s="3">
        <v>0</v>
      </c>
      <c r="AN502" s="3">
        <v>-0.47564600000000001</v>
      </c>
      <c r="AO502" s="3">
        <v>0.29893199999999998</v>
      </c>
      <c r="AP502" s="3">
        <v>0.21210999999999999</v>
      </c>
      <c r="AQ502" s="3">
        <v>2.4479299999999999</v>
      </c>
      <c r="AR502" s="3">
        <v>0.38434200000000002</v>
      </c>
      <c r="AS502" s="3">
        <v>0.203899</v>
      </c>
      <c r="AT502" s="3">
        <v>2.5450400000000002</v>
      </c>
      <c r="AU502" s="3">
        <v>1.5800700000000001</v>
      </c>
      <c r="AV502" s="3">
        <v>7.9603199999999999E-2</v>
      </c>
      <c r="AW502" s="3">
        <v>0.87007599999999996</v>
      </c>
      <c r="AX502" s="3">
        <v>0</v>
      </c>
      <c r="AY502" s="3">
        <v>2.1679500000000001E-2</v>
      </c>
      <c r="AZ502" s="21">
        <v>-0.48805199999999999</v>
      </c>
      <c r="BA502" s="3">
        <v>28.12</v>
      </c>
      <c r="BB502" s="3">
        <v>5</v>
      </c>
    </row>
    <row r="503" spans="1:54" ht="126" customHeight="1" x14ac:dyDescent="0.25">
      <c r="A503" s="2">
        <v>501</v>
      </c>
      <c r="B503" s="3">
        <v>12</v>
      </c>
      <c r="C503" s="2">
        <v>2</v>
      </c>
      <c r="D503" s="9">
        <v>74</v>
      </c>
      <c r="E503" s="3" t="s">
        <v>53</v>
      </c>
      <c r="F503" s="3">
        <f t="shared" ref="F503:F510" si="66">IF(E513="Happy", 1,2)</f>
        <v>1</v>
      </c>
      <c r="G503" s="12"/>
      <c r="H503" s="3" t="s">
        <v>76</v>
      </c>
      <c r="I503" s="3">
        <f t="shared" si="59"/>
        <v>2</v>
      </c>
      <c r="J503" s="3" t="s">
        <v>82</v>
      </c>
      <c r="K503" s="3">
        <v>6</v>
      </c>
      <c r="L503" s="6" t="s">
        <v>182</v>
      </c>
      <c r="M503" s="3">
        <v>-93</v>
      </c>
      <c r="N503" s="3">
        <f t="shared" si="60"/>
        <v>-0.93</v>
      </c>
      <c r="O503" s="3">
        <v>-74</v>
      </c>
      <c r="P503" s="3">
        <v>-0.74</v>
      </c>
      <c r="Q503" s="17">
        <v>6.5367063492063532E-2</v>
      </c>
      <c r="R503" s="21">
        <v>0.48976487282489672</v>
      </c>
      <c r="S503" s="3">
        <v>8</v>
      </c>
      <c r="T503" s="3">
        <v>387.4</v>
      </c>
      <c r="U503" s="3">
        <v>445.56</v>
      </c>
      <c r="V503" s="26">
        <v>-0.95483101164215001</v>
      </c>
      <c r="W503" s="18">
        <v>-1.2084957368345799</v>
      </c>
      <c r="X503" s="18">
        <v>-1.2796456522278701</v>
      </c>
      <c r="Y503" s="18">
        <v>-0.73715557313056401</v>
      </c>
      <c r="Z503" s="18">
        <v>0.57005100422572297</v>
      </c>
      <c r="AA503" s="18">
        <v>0.50713777222963197</v>
      </c>
      <c r="AB503" s="18">
        <v>0.108327437788052</v>
      </c>
      <c r="AC503" s="18">
        <v>-0.166639613994434</v>
      </c>
      <c r="AD503" s="18">
        <v>-0.71365942061547505</v>
      </c>
      <c r="AE503" s="21">
        <v>0.105469122035384</v>
      </c>
      <c r="AF503" s="3">
        <v>0</v>
      </c>
      <c r="AG503" s="3">
        <v>0.33067000000000002</v>
      </c>
      <c r="AH503" s="3">
        <v>-0.13505500000000001</v>
      </c>
      <c r="AI503" s="3">
        <v>1.1558299999999999</v>
      </c>
      <c r="AJ503" s="3">
        <v>6.3245599999999999E-2</v>
      </c>
      <c r="AK503" s="3">
        <v>1.49716</v>
      </c>
      <c r="AL503" s="3">
        <v>0</v>
      </c>
      <c r="AM503" s="3">
        <v>0.02</v>
      </c>
      <c r="AN503" s="3">
        <v>1.7583500000000001</v>
      </c>
      <c r="AO503" s="3">
        <v>0.82559300000000002</v>
      </c>
      <c r="AP503" s="3">
        <v>0.28153</v>
      </c>
      <c r="AQ503" s="3">
        <v>2.4352499999999999</v>
      </c>
      <c r="AR503" s="3">
        <v>0</v>
      </c>
      <c r="AS503" s="3">
        <v>7.2546299999999994E-2</v>
      </c>
      <c r="AT503" s="3">
        <v>0.37510300000000002</v>
      </c>
      <c r="AU503" s="3">
        <v>2.3323</v>
      </c>
      <c r="AV503" s="3">
        <v>4.0221600000000003E-2</v>
      </c>
      <c r="AW503" s="3">
        <v>0.95235599999999998</v>
      </c>
      <c r="AX503" s="3">
        <v>0</v>
      </c>
      <c r="AY503" s="3">
        <v>0.145541</v>
      </c>
      <c r="AZ503" s="21">
        <v>-7.8058100000000005E-2</v>
      </c>
      <c r="BA503" s="3">
        <v>58.164999999999999</v>
      </c>
      <c r="BB503" s="3">
        <v>6</v>
      </c>
    </row>
    <row r="504" spans="1:54" ht="110.25" customHeight="1" x14ac:dyDescent="0.25">
      <c r="A504" s="2">
        <v>502</v>
      </c>
      <c r="B504" s="3">
        <v>12</v>
      </c>
      <c r="C504" s="2">
        <v>2</v>
      </c>
      <c r="D504" s="9">
        <v>74</v>
      </c>
      <c r="E504" s="3" t="s">
        <v>53</v>
      </c>
      <c r="F504" s="3">
        <f t="shared" si="66"/>
        <v>1</v>
      </c>
      <c r="G504" s="12"/>
      <c r="H504" s="3" t="s">
        <v>76</v>
      </c>
      <c r="I504" s="3">
        <f t="shared" si="59"/>
        <v>2</v>
      </c>
      <c r="J504" s="3" t="s">
        <v>83</v>
      </c>
      <c r="K504" s="3">
        <v>7</v>
      </c>
      <c r="L504" s="6" t="s">
        <v>225</v>
      </c>
      <c r="M504" s="3">
        <v>-93</v>
      </c>
      <c r="N504" s="3">
        <f t="shared" si="60"/>
        <v>-0.93</v>
      </c>
      <c r="O504" s="3">
        <v>-74</v>
      </c>
      <c r="P504" s="3">
        <v>-0.74</v>
      </c>
      <c r="Q504" s="17">
        <v>0.1095833333333333</v>
      </c>
      <c r="R504" s="21">
        <v>0.1829043276020432</v>
      </c>
      <c r="S504" s="3">
        <v>9</v>
      </c>
      <c r="T504" s="3">
        <v>445.56</v>
      </c>
      <c r="U504" s="3">
        <v>511.45</v>
      </c>
      <c r="V504" s="26">
        <v>-0.53455228029300705</v>
      </c>
      <c r="W504" s="18">
        <v>-0.98391276864027699</v>
      </c>
      <c r="X504" s="18">
        <v>-1.38641212135585</v>
      </c>
      <c r="Y504" s="18">
        <v>-0.44435416337783101</v>
      </c>
      <c r="Z504" s="18">
        <v>-0.43790603298469499</v>
      </c>
      <c r="AA504" s="18">
        <v>-0.79216010463479503</v>
      </c>
      <c r="AB504" s="18">
        <v>1.03553121508332</v>
      </c>
      <c r="AC504" s="18">
        <v>5.9903580281274703E-3</v>
      </c>
      <c r="AD504" s="18">
        <v>0.26618126452365698</v>
      </c>
      <c r="AE504" s="21">
        <v>-0.201159972147744</v>
      </c>
      <c r="AF504" s="3">
        <v>1.9490000000000001</v>
      </c>
      <c r="AG504" s="3">
        <v>0.161082</v>
      </c>
      <c r="AH504" s="3">
        <v>2.79528</v>
      </c>
      <c r="AI504" s="3">
        <v>6.5027299999999997</v>
      </c>
      <c r="AJ504" s="3">
        <v>7.3237999999999998E-2</v>
      </c>
      <c r="AK504" s="3">
        <v>1.45791</v>
      </c>
      <c r="AL504" s="3">
        <v>0</v>
      </c>
      <c r="AM504" s="3">
        <v>0</v>
      </c>
      <c r="AN504" s="3">
        <v>-0.47564600000000001</v>
      </c>
      <c r="AO504" s="3">
        <v>2.4590200000000002</v>
      </c>
      <c r="AP504" s="3">
        <v>6.61215E-2</v>
      </c>
      <c r="AQ504" s="3">
        <v>1.7378400000000001</v>
      </c>
      <c r="AR504" s="3">
        <v>1.4207700000000001</v>
      </c>
      <c r="AS504" s="3">
        <v>0.29287099999999999</v>
      </c>
      <c r="AT504" s="3">
        <v>2.2286600000000001</v>
      </c>
      <c r="AU504" s="3">
        <v>3.5519099999999999</v>
      </c>
      <c r="AV504" s="3">
        <v>0.118731</v>
      </c>
      <c r="AW504" s="3">
        <v>0.97417900000000002</v>
      </c>
      <c r="AX504" s="3">
        <v>0.72859700000000005</v>
      </c>
      <c r="AY504" s="3">
        <v>0.12374300000000001</v>
      </c>
      <c r="AZ504" s="21">
        <v>2.6392600000000002</v>
      </c>
      <c r="BA504" s="3">
        <v>65.89</v>
      </c>
      <c r="BB504" s="3">
        <v>7</v>
      </c>
    </row>
    <row r="505" spans="1:54" ht="94.5" customHeight="1" x14ac:dyDescent="0.25">
      <c r="A505" s="2">
        <v>503</v>
      </c>
      <c r="B505" s="3">
        <v>12</v>
      </c>
      <c r="C505" s="2">
        <v>2</v>
      </c>
      <c r="D505" s="9">
        <v>74</v>
      </c>
      <c r="E505" s="3" t="s">
        <v>53</v>
      </c>
      <c r="F505" s="3">
        <f t="shared" si="66"/>
        <v>1</v>
      </c>
      <c r="G505" s="12"/>
      <c r="H505" s="3" t="s">
        <v>76</v>
      </c>
      <c r="I505" s="3">
        <f t="shared" si="59"/>
        <v>2</v>
      </c>
      <c r="J505" s="3" t="s">
        <v>94</v>
      </c>
      <c r="K505" s="3">
        <v>8</v>
      </c>
      <c r="L505" s="6" t="s">
        <v>173</v>
      </c>
      <c r="M505" s="3">
        <v>-93</v>
      </c>
      <c r="N505" s="3">
        <f t="shared" si="60"/>
        <v>-0.93</v>
      </c>
      <c r="O505" s="3">
        <v>-74</v>
      </c>
      <c r="P505" s="3">
        <v>-0.74</v>
      </c>
      <c r="Q505" s="17">
        <v>5.7242063492063497E-2</v>
      </c>
      <c r="R505" s="21">
        <v>0.25252324842020663</v>
      </c>
      <c r="S505" s="3">
        <v>10</v>
      </c>
      <c r="T505" s="3">
        <v>511.45</v>
      </c>
      <c r="U505" s="3">
        <v>571.09</v>
      </c>
      <c r="V505" s="26">
        <v>0.82061962093771001</v>
      </c>
      <c r="W505" s="18">
        <v>0.55195381765446705</v>
      </c>
      <c r="X505" s="18">
        <v>0.68147525401061404</v>
      </c>
      <c r="Y505" s="18">
        <v>0.63154039945432106</v>
      </c>
      <c r="Z505" s="18">
        <v>-0.94009572441757205</v>
      </c>
      <c r="AA505" s="18">
        <v>-0.95962957014261896</v>
      </c>
      <c r="AB505" s="18">
        <v>0.79228678626084004</v>
      </c>
      <c r="AC505" s="18">
        <v>0.75526820493344105</v>
      </c>
      <c r="AD505" s="18">
        <v>-7.3924880223117106E-2</v>
      </c>
      <c r="AE505" s="21">
        <v>0.52768614701005601</v>
      </c>
      <c r="AF505" s="3">
        <v>3.2204000000000002</v>
      </c>
      <c r="AG505" s="3">
        <v>0.146763</v>
      </c>
      <c r="AH505" s="3">
        <v>2.8978700000000002</v>
      </c>
      <c r="AI505" s="3">
        <v>2.55619</v>
      </c>
      <c r="AJ505" s="3">
        <v>8.3032800000000004E-2</v>
      </c>
      <c r="AK505" s="3">
        <v>1.4490700000000001</v>
      </c>
      <c r="AL505" s="3">
        <v>0</v>
      </c>
      <c r="AM505" s="3">
        <v>0</v>
      </c>
      <c r="AN505" s="3">
        <v>-0.47564600000000001</v>
      </c>
      <c r="AO505" s="3">
        <v>5.1928900000000002</v>
      </c>
      <c r="AP505" s="3">
        <v>0.13048000000000001</v>
      </c>
      <c r="AQ505" s="3">
        <v>2.00928</v>
      </c>
      <c r="AR505" s="3">
        <v>2.9587400000000001</v>
      </c>
      <c r="AS505" s="3">
        <v>8.4088499999999997E-2</v>
      </c>
      <c r="AT505" s="3">
        <v>1.73454</v>
      </c>
      <c r="AU505" s="3">
        <v>2.0731299999999999</v>
      </c>
      <c r="AV505" s="3">
        <v>0.15734799999999999</v>
      </c>
      <c r="AW505" s="3">
        <v>1.24509</v>
      </c>
      <c r="AX505" s="3">
        <v>0.78497099999999997</v>
      </c>
      <c r="AY505" s="3">
        <v>0.229125</v>
      </c>
      <c r="AZ505" s="21">
        <v>2.9013499999999999</v>
      </c>
      <c r="BA505" s="3">
        <v>59.64</v>
      </c>
      <c r="BB505" s="3">
        <v>8</v>
      </c>
    </row>
    <row r="506" spans="1:54" ht="126" customHeight="1" x14ac:dyDescent="0.25">
      <c r="A506" s="2">
        <v>504</v>
      </c>
      <c r="B506" s="3">
        <v>12</v>
      </c>
      <c r="C506" s="2">
        <v>2</v>
      </c>
      <c r="D506" s="9">
        <v>74</v>
      </c>
      <c r="E506" s="3" t="s">
        <v>53</v>
      </c>
      <c r="F506" s="3">
        <f t="shared" si="66"/>
        <v>1</v>
      </c>
      <c r="G506" s="12"/>
      <c r="H506" s="3" t="s">
        <v>76</v>
      </c>
      <c r="I506" s="3">
        <f t="shared" si="59"/>
        <v>2</v>
      </c>
      <c r="J506" s="3" t="s">
        <v>95</v>
      </c>
      <c r="K506" s="3">
        <v>9</v>
      </c>
      <c r="L506" s="6" t="s">
        <v>267</v>
      </c>
      <c r="M506" s="3">
        <v>-93</v>
      </c>
      <c r="N506" s="3">
        <f t="shared" si="60"/>
        <v>-0.93</v>
      </c>
      <c r="O506" s="3">
        <v>-74</v>
      </c>
      <c r="P506" s="3">
        <v>-0.74</v>
      </c>
      <c r="Q506" s="17">
        <v>-0.26985714285714291</v>
      </c>
      <c r="R506" s="21">
        <v>0.20874947214347969</v>
      </c>
      <c r="S506" s="3">
        <v>11</v>
      </c>
      <c r="T506" s="3">
        <v>571.09</v>
      </c>
      <c r="U506" s="3">
        <v>638.30999999999995</v>
      </c>
      <c r="V506" s="26">
        <v>0.76732463832480002</v>
      </c>
      <c r="W506" s="18">
        <v>1.2510201656805999</v>
      </c>
      <c r="X506" s="18">
        <v>1.54155419189051</v>
      </c>
      <c r="Y506" s="18">
        <v>1.7635251088872499</v>
      </c>
      <c r="Z506" s="18">
        <v>2.2978697551023899</v>
      </c>
      <c r="AA506" s="18">
        <v>1.9360494566569</v>
      </c>
      <c r="AB506" s="18">
        <v>-0.982496638851312</v>
      </c>
      <c r="AC506" s="18">
        <v>-0.86535828703561901</v>
      </c>
      <c r="AD506" s="18">
        <v>9.2328556698242401E-2</v>
      </c>
      <c r="AE506" s="21">
        <v>-0.28785092024140302</v>
      </c>
      <c r="AF506" s="3">
        <v>0</v>
      </c>
      <c r="AG506" s="3">
        <v>0.25694800000000001</v>
      </c>
      <c r="AH506" s="3">
        <v>-0.42086400000000002</v>
      </c>
      <c r="AI506" s="3">
        <v>10.9643</v>
      </c>
      <c r="AJ506" s="3">
        <v>0.103294</v>
      </c>
      <c r="AK506" s="3">
        <v>1.5512600000000001</v>
      </c>
      <c r="AL506" s="3">
        <v>0</v>
      </c>
      <c r="AM506" s="3">
        <v>0</v>
      </c>
      <c r="AN506" s="3">
        <v>-0.47564600000000001</v>
      </c>
      <c r="AO506" s="3">
        <v>6.5714300000000003</v>
      </c>
      <c r="AP506" s="3">
        <v>7.6164999999999997E-2</v>
      </c>
      <c r="AQ506" s="3">
        <v>2.1282000000000001</v>
      </c>
      <c r="AR506" s="3">
        <v>0.375</v>
      </c>
      <c r="AS506" s="3">
        <v>3.21677E-2</v>
      </c>
      <c r="AT506" s="3">
        <v>1.4901199999999999</v>
      </c>
      <c r="AU506" s="3">
        <v>3.1428600000000002</v>
      </c>
      <c r="AV506" s="3">
        <v>9.2951599999999995E-2</v>
      </c>
      <c r="AW506" s="3">
        <v>0.92606500000000003</v>
      </c>
      <c r="AX506" s="3">
        <v>1.0535699999999999</v>
      </c>
      <c r="AY506" s="3">
        <v>0.120681</v>
      </c>
      <c r="AZ506" s="21">
        <v>2.5297399999999999</v>
      </c>
      <c r="BA506" s="3">
        <v>67.22</v>
      </c>
      <c r="BB506" s="3">
        <v>9</v>
      </c>
    </row>
    <row r="507" spans="1:54" ht="110.25" customHeight="1" x14ac:dyDescent="0.25">
      <c r="A507" s="2">
        <v>505</v>
      </c>
      <c r="B507" s="3">
        <v>12</v>
      </c>
      <c r="C507" s="2">
        <v>2</v>
      </c>
      <c r="D507" s="9">
        <v>74</v>
      </c>
      <c r="E507" s="3" t="s">
        <v>53</v>
      </c>
      <c r="F507" s="3">
        <f t="shared" si="66"/>
        <v>1</v>
      </c>
      <c r="G507" s="12"/>
      <c r="H507" s="3" t="s">
        <v>76</v>
      </c>
      <c r="I507" s="3">
        <f t="shared" si="59"/>
        <v>2</v>
      </c>
      <c r="J507" s="3" t="s">
        <v>96</v>
      </c>
      <c r="K507" s="3">
        <v>10</v>
      </c>
      <c r="L507" s="6" t="s">
        <v>215</v>
      </c>
      <c r="M507" s="3">
        <v>-93</v>
      </c>
      <c r="N507" s="3">
        <f t="shared" si="60"/>
        <v>-0.93</v>
      </c>
      <c r="O507" s="3">
        <v>-74</v>
      </c>
      <c r="P507" s="3">
        <v>-0.74</v>
      </c>
      <c r="Q507" s="17">
        <v>-6.7586805555555532E-2</v>
      </c>
      <c r="R507" s="21">
        <v>0.32849885062813328</v>
      </c>
      <c r="S507" s="3">
        <v>12</v>
      </c>
      <c r="T507" s="3">
        <v>638.30999999999995</v>
      </c>
      <c r="U507" s="3">
        <v>693.53</v>
      </c>
      <c r="V507" s="26">
        <v>-4.6507133972916399E-2</v>
      </c>
      <c r="W507" s="18">
        <v>0.97556488146587905</v>
      </c>
      <c r="X507" s="18">
        <v>1.04660948906889</v>
      </c>
      <c r="Y507" s="18">
        <v>0.17022756108463699</v>
      </c>
      <c r="Z507" s="18">
        <v>0.64518174546371398</v>
      </c>
      <c r="AA507" s="18">
        <v>0.55868590219726399</v>
      </c>
      <c r="AB507" s="18">
        <v>-1.2102401972098E-2</v>
      </c>
      <c r="AC507" s="18">
        <v>-1.47616776588062</v>
      </c>
      <c r="AD507" s="18">
        <v>-0.47420484355709902</v>
      </c>
      <c r="AE507" s="21">
        <v>0.35590963875039899</v>
      </c>
      <c r="AF507" s="3">
        <v>2.7608700000000002</v>
      </c>
      <c r="AG507" s="3">
        <v>0.13130500000000001</v>
      </c>
      <c r="AH507" s="3">
        <v>2.5350000000000001</v>
      </c>
      <c r="AI507" s="3">
        <v>6.4565200000000003</v>
      </c>
      <c r="AJ507" s="3">
        <v>4.1109600000000003E-2</v>
      </c>
      <c r="AK507" s="3">
        <v>1.37077</v>
      </c>
      <c r="AL507" s="3">
        <v>0</v>
      </c>
      <c r="AM507" s="3">
        <v>0</v>
      </c>
      <c r="AN507" s="3">
        <v>-0.47564600000000001</v>
      </c>
      <c r="AO507" s="3">
        <v>4.5</v>
      </c>
      <c r="AP507" s="3">
        <v>0.113984</v>
      </c>
      <c r="AQ507" s="3">
        <v>1.93208</v>
      </c>
      <c r="AR507" s="3">
        <v>0</v>
      </c>
      <c r="AS507" s="3">
        <v>3.2488900000000001E-2</v>
      </c>
      <c r="AT507" s="3">
        <v>-0.87407400000000002</v>
      </c>
      <c r="AU507" s="3">
        <v>3.0652200000000001</v>
      </c>
      <c r="AV507" s="3">
        <v>7.9056899999999999E-2</v>
      </c>
      <c r="AW507" s="3">
        <v>0.94797399999999998</v>
      </c>
      <c r="AX507" s="3">
        <v>0.5</v>
      </c>
      <c r="AY507" s="3">
        <v>0.411383</v>
      </c>
      <c r="AZ507" s="21">
        <v>3.56366</v>
      </c>
      <c r="BA507" s="3">
        <v>55.22</v>
      </c>
      <c r="BB507" s="3">
        <v>10</v>
      </c>
    </row>
    <row r="508" spans="1:54" ht="220.5" customHeight="1" x14ac:dyDescent="0.25">
      <c r="A508" s="2">
        <v>506</v>
      </c>
      <c r="B508" s="3">
        <v>12</v>
      </c>
      <c r="C508" s="2">
        <v>2</v>
      </c>
      <c r="D508" s="9">
        <v>74</v>
      </c>
      <c r="E508" s="3" t="s">
        <v>53</v>
      </c>
      <c r="F508" s="3">
        <f t="shared" si="66"/>
        <v>1</v>
      </c>
      <c r="G508" s="12"/>
      <c r="H508" s="3" t="s">
        <v>76</v>
      </c>
      <c r="I508" s="3">
        <f t="shared" si="59"/>
        <v>2</v>
      </c>
      <c r="J508" s="3" t="s">
        <v>99</v>
      </c>
      <c r="K508" s="3">
        <v>11</v>
      </c>
      <c r="L508" s="6" t="s">
        <v>239</v>
      </c>
      <c r="M508" s="3">
        <v>-93</v>
      </c>
      <c r="N508" s="3">
        <f t="shared" si="60"/>
        <v>-0.93</v>
      </c>
      <c r="O508" s="3">
        <v>-74</v>
      </c>
      <c r="P508" s="3">
        <v>-0.74</v>
      </c>
      <c r="Q508" s="17">
        <v>9.4198412698412698E-2</v>
      </c>
      <c r="R508" s="21">
        <v>0.23992046284913501</v>
      </c>
      <c r="S508" s="3">
        <v>13</v>
      </c>
      <c r="T508" s="3">
        <v>693.53</v>
      </c>
      <c r="U508" s="3">
        <v>788.93</v>
      </c>
      <c r="V508" s="26">
        <v>-0.33920174329964597</v>
      </c>
      <c r="W508" s="18">
        <v>0.15143586118909599</v>
      </c>
      <c r="X508" s="18">
        <v>0.44277150928998499</v>
      </c>
      <c r="Y508" s="18">
        <v>0.96247828911928601</v>
      </c>
      <c r="Z508" s="18">
        <v>4.5077303545238E-2</v>
      </c>
      <c r="AA508" s="18">
        <v>-6.6892785643092201E-2</v>
      </c>
      <c r="AB508" s="18">
        <v>0.39674961727962699</v>
      </c>
      <c r="AC508" s="18">
        <v>0.73887063503156003</v>
      </c>
      <c r="AD508" s="18">
        <v>-0.56229435117961102</v>
      </c>
      <c r="AE508" s="21">
        <v>-1.38914703861641</v>
      </c>
      <c r="AF508" s="3">
        <v>2.3023699999999998</v>
      </c>
      <c r="AG508" s="3">
        <v>5.99166E-2</v>
      </c>
      <c r="AH508" s="3">
        <v>2.4709300000000001</v>
      </c>
      <c r="AI508" s="3">
        <v>4.5921599999999998</v>
      </c>
      <c r="AJ508" s="3">
        <v>7.89937E-2</v>
      </c>
      <c r="AK508" s="3">
        <v>1.5664100000000001</v>
      </c>
      <c r="AL508" s="3">
        <v>0.51583100000000004</v>
      </c>
      <c r="AM508" s="3">
        <v>6.4216899999999993E-2</v>
      </c>
      <c r="AN508" s="3">
        <v>4.6814999999999998</v>
      </c>
      <c r="AO508" s="3">
        <v>7.0706600000000002</v>
      </c>
      <c r="AP508" s="3">
        <v>9.8418000000000005E-2</v>
      </c>
      <c r="AQ508" s="3">
        <v>1.8318000000000001</v>
      </c>
      <c r="AR508" s="3">
        <v>3.0446599999999999</v>
      </c>
      <c r="AS508" s="3">
        <v>9.8323900000000006E-2</v>
      </c>
      <c r="AT508" s="3">
        <v>1.66323</v>
      </c>
      <c r="AU508" s="3">
        <v>1.8620300000000001</v>
      </c>
      <c r="AV508" s="3">
        <v>0.176257</v>
      </c>
      <c r="AW508" s="3">
        <v>1.08186</v>
      </c>
      <c r="AX508" s="3">
        <v>1.33361</v>
      </c>
      <c r="AY508" s="3">
        <v>0.15993099999999999</v>
      </c>
      <c r="AZ508" s="21">
        <v>2.8654600000000001</v>
      </c>
      <c r="BA508" s="3">
        <v>95.4</v>
      </c>
      <c r="BB508" s="3">
        <v>11</v>
      </c>
    </row>
    <row r="509" spans="1:54" ht="236.25" customHeight="1" x14ac:dyDescent="0.25">
      <c r="A509" s="2">
        <v>507</v>
      </c>
      <c r="B509" s="3">
        <v>12</v>
      </c>
      <c r="C509" s="2">
        <v>2</v>
      </c>
      <c r="D509" s="9">
        <v>74</v>
      </c>
      <c r="E509" s="3" t="s">
        <v>53</v>
      </c>
      <c r="F509" s="3">
        <f t="shared" si="66"/>
        <v>1</v>
      </c>
      <c r="G509" s="12"/>
      <c r="H509" s="3" t="s">
        <v>76</v>
      </c>
      <c r="I509" s="3">
        <f t="shared" si="59"/>
        <v>2</v>
      </c>
      <c r="J509" s="3" t="s">
        <v>100</v>
      </c>
      <c r="K509" s="3">
        <v>12</v>
      </c>
      <c r="L509" s="6" t="s">
        <v>268</v>
      </c>
      <c r="M509" s="3">
        <v>-93</v>
      </c>
      <c r="N509" s="3">
        <f t="shared" si="60"/>
        <v>-0.93</v>
      </c>
      <c r="O509" s="3">
        <v>-74</v>
      </c>
      <c r="P509" s="3">
        <v>-0.74</v>
      </c>
      <c r="Q509" s="17">
        <v>2.7256216006216012E-3</v>
      </c>
      <c r="R509" s="21">
        <v>0.30983997672534302</v>
      </c>
      <c r="S509" s="3">
        <v>14</v>
      </c>
      <c r="T509" s="3">
        <v>788.93</v>
      </c>
      <c r="U509" s="3">
        <v>954.13</v>
      </c>
      <c r="V509" s="26">
        <v>0.24374030370267699</v>
      </c>
      <c r="W509" s="18">
        <v>0.44750999124850099</v>
      </c>
      <c r="X509" s="18">
        <v>0.47620607412170601</v>
      </c>
      <c r="Y509" s="18">
        <v>7.0819675057476605E-2</v>
      </c>
      <c r="Z509" s="18">
        <v>-0.260529696528087</v>
      </c>
      <c r="AA509" s="18">
        <v>-0.12153875995974101</v>
      </c>
      <c r="AB509" s="18">
        <v>-1.5189989888058999</v>
      </c>
      <c r="AC509" s="18">
        <v>-0.656289270786659</v>
      </c>
      <c r="AD509" s="18">
        <v>0.69468709121555605</v>
      </c>
      <c r="AE509" s="21">
        <v>-0.40825501481593002</v>
      </c>
      <c r="AF509" s="3">
        <v>2.0632000000000001</v>
      </c>
      <c r="AG509" s="3">
        <v>0.30157</v>
      </c>
      <c r="AH509" s="3">
        <v>3.7372200000000002</v>
      </c>
      <c r="AI509" s="3">
        <v>2.8841299999999999</v>
      </c>
      <c r="AJ509" s="3">
        <v>0.143208</v>
      </c>
      <c r="AK509" s="3">
        <v>1.80186</v>
      </c>
      <c r="AL509" s="3">
        <v>5.0853599999999999E-2</v>
      </c>
      <c r="AM509" s="3">
        <v>6.7082000000000003E-2</v>
      </c>
      <c r="AN509" s="3">
        <v>4.8988899999999997</v>
      </c>
      <c r="AO509" s="3">
        <v>2.8405399999999998</v>
      </c>
      <c r="AP509" s="3">
        <v>0.25758900000000001</v>
      </c>
      <c r="AQ509" s="3">
        <v>2.7013099999999999</v>
      </c>
      <c r="AR509" s="3">
        <v>5.9208100000000004</v>
      </c>
      <c r="AS509" s="3">
        <v>8.5332400000000003E-2</v>
      </c>
      <c r="AT509" s="3">
        <v>1.57541</v>
      </c>
      <c r="AU509" s="3">
        <v>7.5917199999999996</v>
      </c>
      <c r="AV509" s="3">
        <v>5.6833099999999998E-2</v>
      </c>
      <c r="AW509" s="3">
        <v>0.86033899999999996</v>
      </c>
      <c r="AX509" s="3">
        <v>3.1166</v>
      </c>
      <c r="AY509" s="3">
        <v>0.14160300000000001</v>
      </c>
      <c r="AZ509" s="21">
        <v>2.6297999999999999</v>
      </c>
      <c r="BA509" s="3">
        <v>165.19900000000001</v>
      </c>
      <c r="BB509" s="3">
        <v>12</v>
      </c>
    </row>
    <row r="510" spans="1:54" ht="47.25" customHeight="1" x14ac:dyDescent="0.25">
      <c r="A510" s="2">
        <v>508</v>
      </c>
      <c r="B510" s="3">
        <v>12</v>
      </c>
      <c r="C510" s="2">
        <v>2</v>
      </c>
      <c r="D510" s="9">
        <v>74</v>
      </c>
      <c r="E510" s="3" t="s">
        <v>53</v>
      </c>
      <c r="F510" s="3">
        <f t="shared" si="66"/>
        <v>1</v>
      </c>
      <c r="G510" s="12"/>
      <c r="H510" s="3" t="s">
        <v>76</v>
      </c>
      <c r="I510" s="3">
        <f t="shared" si="59"/>
        <v>2</v>
      </c>
      <c r="J510" s="3" t="s">
        <v>101</v>
      </c>
      <c r="K510" s="3">
        <v>13</v>
      </c>
      <c r="L510" s="6" t="s">
        <v>153</v>
      </c>
      <c r="M510" s="3">
        <v>-93</v>
      </c>
      <c r="N510" s="3">
        <f t="shared" si="60"/>
        <v>-0.93</v>
      </c>
      <c r="O510" s="3">
        <v>-74</v>
      </c>
      <c r="P510" s="3">
        <v>-0.74</v>
      </c>
      <c r="Q510" s="17">
        <v>0.1444444444444444</v>
      </c>
      <c r="R510" s="21">
        <v>0.32642139318054192</v>
      </c>
      <c r="S510" s="3">
        <v>15</v>
      </c>
      <c r="T510" s="3">
        <v>954.13</v>
      </c>
      <c r="U510" s="3">
        <v>980.07</v>
      </c>
      <c r="V510" s="26">
        <v>3.5086168822690298</v>
      </c>
      <c r="W510" s="18">
        <v>2.3453810292247899</v>
      </c>
      <c r="X510" s="18">
        <v>-0.66693523170650904</v>
      </c>
      <c r="Y510" s="18">
        <v>0.54990543850474305</v>
      </c>
      <c r="Z510" s="18">
        <v>1.1761809692510099</v>
      </c>
      <c r="AA510" s="18">
        <v>1.38103966308714</v>
      </c>
      <c r="AB510" s="18">
        <v>-1.81629773514448</v>
      </c>
      <c r="AC510" s="18">
        <v>1.3984173355293701</v>
      </c>
      <c r="AD510" s="18">
        <v>4.7739446950798499</v>
      </c>
      <c r="AE510" s="21">
        <v>-2.7312513461404602</v>
      </c>
      <c r="AF510" s="3">
        <v>0</v>
      </c>
      <c r="AG510" s="3">
        <v>0.340142</v>
      </c>
      <c r="AH510" s="3">
        <v>5.3997099999999999E-2</v>
      </c>
      <c r="AI510" s="3">
        <v>0.87963000000000002</v>
      </c>
      <c r="AJ510" s="3">
        <v>0.186088</v>
      </c>
      <c r="AK510" s="3">
        <v>1.9263300000000001</v>
      </c>
      <c r="AL510" s="3">
        <v>0</v>
      </c>
      <c r="AM510" s="3">
        <v>0.14672199999999999</v>
      </c>
      <c r="AN510" s="3">
        <v>0.173592</v>
      </c>
      <c r="AO510" s="3">
        <v>1.25</v>
      </c>
      <c r="AP510" s="3">
        <v>4.3392600000000003E-2</v>
      </c>
      <c r="AQ510" s="3">
        <v>1.7818799999999999</v>
      </c>
      <c r="AR510" s="3">
        <v>18.333300000000001</v>
      </c>
      <c r="AS510" s="3">
        <v>2.0655900000000001E-2</v>
      </c>
      <c r="AT510" s="3">
        <v>1.4740899999999999</v>
      </c>
      <c r="AU510" s="3">
        <v>7.5462999999999996</v>
      </c>
      <c r="AV510" s="3">
        <v>0.18837999999999999</v>
      </c>
      <c r="AW510" s="3">
        <v>1.27369</v>
      </c>
      <c r="AX510" s="3">
        <v>2.31481</v>
      </c>
      <c r="AY510" s="3">
        <v>0.46645999999999999</v>
      </c>
      <c r="AZ510" s="21">
        <v>3.0992899999999999</v>
      </c>
      <c r="BA510" s="3">
        <v>25.940999999999999</v>
      </c>
      <c r="BB510" s="3">
        <v>13</v>
      </c>
    </row>
    <row r="511" spans="1:54" ht="157.5" customHeight="1" x14ac:dyDescent="0.25">
      <c r="A511" s="2">
        <v>509</v>
      </c>
      <c r="B511" s="3">
        <v>13</v>
      </c>
      <c r="C511" s="2">
        <v>2</v>
      </c>
      <c r="D511" s="9">
        <v>81</v>
      </c>
      <c r="E511" s="3" t="s">
        <v>16</v>
      </c>
      <c r="F511" s="3">
        <f>IF(E522="Happy", 1,2)</f>
        <v>1</v>
      </c>
      <c r="G511" s="11" t="s">
        <v>17</v>
      </c>
      <c r="H511" s="3" t="s">
        <v>17</v>
      </c>
      <c r="I511" s="3">
        <f t="shared" si="59"/>
        <v>1</v>
      </c>
      <c r="J511" s="3" t="s">
        <v>18</v>
      </c>
      <c r="K511" s="3">
        <v>1</v>
      </c>
      <c r="L511" s="6" t="s">
        <v>229</v>
      </c>
      <c r="M511" s="3">
        <v>80</v>
      </c>
      <c r="N511" s="3">
        <f t="shared" si="60"/>
        <v>0.8</v>
      </c>
      <c r="O511" s="3">
        <v>58</v>
      </c>
      <c r="P511" s="3">
        <v>0.57999999999999996</v>
      </c>
      <c r="Q511" s="17">
        <v>0.15472222222222221</v>
      </c>
      <c r="R511" s="21">
        <v>0.49190154465058311</v>
      </c>
      <c r="S511" s="3">
        <v>2</v>
      </c>
      <c r="T511" s="3">
        <v>31.54</v>
      </c>
      <c r="U511" s="3">
        <v>133.1</v>
      </c>
      <c r="V511" s="26">
        <v>-1.17213386261297</v>
      </c>
      <c r="W511" s="18">
        <v>-0.87200849309017703</v>
      </c>
      <c r="X511" s="18">
        <v>-0.79741763201322002</v>
      </c>
      <c r="Y511" s="18">
        <v>-0.80940347273843305</v>
      </c>
      <c r="Z511" s="18">
        <v>3.9165405665925399E-2</v>
      </c>
      <c r="AA511" s="18">
        <v>0.1055042347507</v>
      </c>
      <c r="AB511" s="18">
        <v>0.45674271030685598</v>
      </c>
      <c r="AC511" s="18">
        <v>0.18692715710138</v>
      </c>
      <c r="AD511" s="18">
        <v>-0.12803508802868899</v>
      </c>
      <c r="AE511" s="21">
        <v>-0.40869814790971698</v>
      </c>
      <c r="AF511" s="3">
        <v>0.95725800000000005</v>
      </c>
      <c r="AG511" s="3">
        <v>0.11643199999999999</v>
      </c>
      <c r="AH511" s="3">
        <v>2.9616699999999998</v>
      </c>
      <c r="AI511" s="3">
        <v>17.396100000000001</v>
      </c>
      <c r="AJ511" s="3">
        <v>0.41309099999999999</v>
      </c>
      <c r="AK511" s="3">
        <v>1.7537700000000001</v>
      </c>
      <c r="AL511" s="3">
        <v>1.02817</v>
      </c>
      <c r="AM511" s="3">
        <v>0.22922500000000001</v>
      </c>
      <c r="AN511" s="3">
        <v>4.4476699999999996</v>
      </c>
      <c r="AO511" s="3">
        <v>8.8871400000000005</v>
      </c>
      <c r="AP511" s="3">
        <v>0.27729199999999998</v>
      </c>
      <c r="AQ511" s="3">
        <v>1.8465499999999999</v>
      </c>
      <c r="AR511" s="3">
        <v>8.9580500000000001</v>
      </c>
      <c r="AS511" s="3">
        <v>0.342059</v>
      </c>
      <c r="AT511" s="3">
        <v>2.99763</v>
      </c>
      <c r="AU511" s="3">
        <v>5.1408300000000002</v>
      </c>
      <c r="AV511" s="3">
        <v>0.156476</v>
      </c>
      <c r="AW511" s="3">
        <v>1.8104899999999999</v>
      </c>
      <c r="AX511" s="3">
        <v>0.43726599999999999</v>
      </c>
      <c r="AY511" s="3">
        <v>0.13533800000000001</v>
      </c>
      <c r="AZ511" s="21">
        <v>2.8816600000000001</v>
      </c>
      <c r="BA511" s="3">
        <v>101.56</v>
      </c>
      <c r="BB511" s="3">
        <v>1</v>
      </c>
    </row>
    <row r="512" spans="1:54" ht="63" customHeight="1" x14ac:dyDescent="0.25">
      <c r="A512" s="2">
        <v>510</v>
      </c>
      <c r="B512" s="3">
        <v>13</v>
      </c>
      <c r="C512" s="2">
        <v>2</v>
      </c>
      <c r="D512" s="9">
        <v>81</v>
      </c>
      <c r="E512" s="3" t="s">
        <v>16</v>
      </c>
      <c r="F512" s="3">
        <f>IF(E523="Happy", 1,2)</f>
        <v>1</v>
      </c>
      <c r="G512" s="12"/>
      <c r="H512" s="3" t="s">
        <v>17</v>
      </c>
      <c r="I512" s="3">
        <f t="shared" si="59"/>
        <v>1</v>
      </c>
      <c r="J512" s="3" t="s">
        <v>19</v>
      </c>
      <c r="K512" s="3">
        <v>2</v>
      </c>
      <c r="L512" s="6" t="s">
        <v>154</v>
      </c>
      <c r="M512" s="3">
        <v>80</v>
      </c>
      <c r="N512" s="3">
        <f t="shared" si="60"/>
        <v>0.8</v>
      </c>
      <c r="O512" s="3">
        <v>58</v>
      </c>
      <c r="P512" s="3">
        <v>0.57999999999999996</v>
      </c>
      <c r="Q512" s="17">
        <v>0.1980555555555556</v>
      </c>
      <c r="R512" s="21">
        <v>0.17263548088170999</v>
      </c>
      <c r="S512" s="3">
        <v>3</v>
      </c>
      <c r="T512" s="3">
        <v>133.1</v>
      </c>
      <c r="U512" s="3">
        <v>171.73</v>
      </c>
      <c r="V512" s="26">
        <v>0.25955852683723901</v>
      </c>
      <c r="W512" s="18">
        <v>0.653643484216054</v>
      </c>
      <c r="X512" s="18">
        <v>-0.13990002124961301</v>
      </c>
      <c r="Y512" s="18">
        <v>1.47683866598014</v>
      </c>
      <c r="Z512" s="18">
        <v>0.36771165871103501</v>
      </c>
      <c r="AA512" s="18">
        <v>-0.56349774949293496</v>
      </c>
      <c r="AB512" s="18">
        <v>1.1623325233173101</v>
      </c>
      <c r="AC512" s="18">
        <v>-1.9670810134288299</v>
      </c>
      <c r="AD512" s="18">
        <v>-0.65092511948307696</v>
      </c>
      <c r="AE512" s="21">
        <v>-1.95843598365422</v>
      </c>
      <c r="AF512" s="3">
        <v>1.58467</v>
      </c>
      <c r="AG512" s="3">
        <v>0.264737</v>
      </c>
      <c r="AH512" s="3">
        <v>3.6493600000000002</v>
      </c>
      <c r="AI512" s="3">
        <v>15.132099999999999</v>
      </c>
      <c r="AJ512" s="3">
        <v>0.26341500000000001</v>
      </c>
      <c r="AK512" s="3">
        <v>1.69008</v>
      </c>
      <c r="AL512" s="3">
        <v>2.4546899999999998</v>
      </c>
      <c r="AM512" s="3">
        <v>9.32611E-2</v>
      </c>
      <c r="AN512" s="3">
        <v>3.7181000000000002</v>
      </c>
      <c r="AO512" s="3">
        <v>8.3583599999999993</v>
      </c>
      <c r="AP512" s="3">
        <v>0.40864400000000001</v>
      </c>
      <c r="AQ512" s="3">
        <v>2.2404099999999998</v>
      </c>
      <c r="AR512" s="3">
        <v>4.81616</v>
      </c>
      <c r="AS512" s="3">
        <v>0.25334400000000001</v>
      </c>
      <c r="AT512" s="3">
        <v>2.0336400000000001</v>
      </c>
      <c r="AU512" s="3">
        <v>4.2568599999999996</v>
      </c>
      <c r="AV512" s="3">
        <v>0.154726</v>
      </c>
      <c r="AW512" s="3">
        <v>1.55538</v>
      </c>
      <c r="AX512" s="3">
        <v>1.98861</v>
      </c>
      <c r="AY512" s="3">
        <v>8.7616600000000003E-2</v>
      </c>
      <c r="AZ512" s="21">
        <v>2.6177199999999998</v>
      </c>
      <c r="BA512" s="3">
        <v>38.630000000000003</v>
      </c>
      <c r="BB512" s="3">
        <v>2</v>
      </c>
    </row>
    <row r="513" spans="1:54" ht="110.25" customHeight="1" x14ac:dyDescent="0.25">
      <c r="A513" s="2">
        <v>511</v>
      </c>
      <c r="B513" s="3">
        <v>13</v>
      </c>
      <c r="C513" s="2">
        <v>2</v>
      </c>
      <c r="D513" s="9">
        <v>81</v>
      </c>
      <c r="E513" s="3" t="s">
        <v>16</v>
      </c>
      <c r="F513" s="3">
        <f t="shared" ref="F513:F520" si="67">IF(E523="Happy", 1,2)</f>
        <v>1</v>
      </c>
      <c r="G513" s="12"/>
      <c r="H513" s="3" t="s">
        <v>17</v>
      </c>
      <c r="I513" s="3">
        <f t="shared" si="59"/>
        <v>1</v>
      </c>
      <c r="J513" s="3" t="s">
        <v>20</v>
      </c>
      <c r="K513" s="3">
        <v>3</v>
      </c>
      <c r="L513" s="6" t="s">
        <v>227</v>
      </c>
      <c r="M513" s="3">
        <v>80</v>
      </c>
      <c r="N513" s="3">
        <f t="shared" si="60"/>
        <v>0.8</v>
      </c>
      <c r="O513" s="3">
        <v>58</v>
      </c>
      <c r="P513" s="3">
        <v>0.57999999999999996</v>
      </c>
      <c r="Q513" s="17">
        <v>7.8935185185185192E-2</v>
      </c>
      <c r="R513" s="21">
        <v>0.29816622759768652</v>
      </c>
      <c r="S513" s="3">
        <v>4</v>
      </c>
      <c r="T513" s="3">
        <v>171.73</v>
      </c>
      <c r="U513" s="3">
        <v>240.04</v>
      </c>
      <c r="V513" s="26">
        <v>-0.59418586756831504</v>
      </c>
      <c r="W513" s="18">
        <v>-8.4328846088753597E-3</v>
      </c>
      <c r="X513" s="18">
        <v>-0.70292225791748597</v>
      </c>
      <c r="Y513" s="18">
        <v>0.226364690451617</v>
      </c>
      <c r="Z513" s="18">
        <v>0.32203336454225501</v>
      </c>
      <c r="AA513" s="18">
        <v>0.19788723830048</v>
      </c>
      <c r="AB513" s="18">
        <v>0.23591754691553801</v>
      </c>
      <c r="AC513" s="18">
        <v>0.14420933238258701</v>
      </c>
      <c r="AD513" s="18">
        <v>0.64954403485268697</v>
      </c>
      <c r="AE513" s="21">
        <v>-0.55888341569956401</v>
      </c>
      <c r="AF513" s="3">
        <v>2.1089600000000002</v>
      </c>
      <c r="AG513" s="3">
        <v>0.31694499999999998</v>
      </c>
      <c r="AH513" s="3">
        <v>3.7217600000000002</v>
      </c>
      <c r="AI513" s="3">
        <v>13.3568</v>
      </c>
      <c r="AJ513" s="3">
        <v>7.7745999999999996E-2</v>
      </c>
      <c r="AK513" s="3">
        <v>0.77442699999999998</v>
      </c>
      <c r="AL513" s="3">
        <v>2.1265399999999999</v>
      </c>
      <c r="AM513" s="3">
        <v>0.19461700000000001</v>
      </c>
      <c r="AN513" s="3">
        <v>4.6898999999999997</v>
      </c>
      <c r="AO513" s="3">
        <v>6.7311100000000001</v>
      </c>
      <c r="AP513" s="3">
        <v>0.144562</v>
      </c>
      <c r="AQ513" s="3">
        <v>1.3846000000000001</v>
      </c>
      <c r="AR513" s="3">
        <v>2.4604599999999999</v>
      </c>
      <c r="AS513" s="3">
        <v>0.176811</v>
      </c>
      <c r="AT513" s="3">
        <v>1.7938400000000001</v>
      </c>
      <c r="AU513" s="3">
        <v>5.1142399999999997</v>
      </c>
      <c r="AV513" s="3">
        <v>0.14241799999999999</v>
      </c>
      <c r="AW513" s="3">
        <v>1.5466299999999999</v>
      </c>
      <c r="AX513" s="3">
        <v>2.9876999999999998</v>
      </c>
      <c r="AY513" s="3">
        <v>0.76134299999999999</v>
      </c>
      <c r="AZ513" s="21">
        <v>8.1406700000000001</v>
      </c>
      <c r="BA513" s="3">
        <v>68.31</v>
      </c>
      <c r="BB513" s="3">
        <v>3</v>
      </c>
    </row>
    <row r="514" spans="1:54" ht="141.75" customHeight="1" x14ac:dyDescent="0.25">
      <c r="A514" s="2">
        <v>512</v>
      </c>
      <c r="B514" s="3">
        <v>13</v>
      </c>
      <c r="C514" s="2">
        <v>2</v>
      </c>
      <c r="D514" s="9">
        <v>81</v>
      </c>
      <c r="E514" s="3" t="s">
        <v>16</v>
      </c>
      <c r="F514" s="3">
        <f t="shared" si="67"/>
        <v>2</v>
      </c>
      <c r="G514" s="11" t="s">
        <v>26</v>
      </c>
      <c r="H514" s="3" t="s">
        <v>26</v>
      </c>
      <c r="I514" s="3">
        <f t="shared" si="59"/>
        <v>2</v>
      </c>
      <c r="J514" s="3" t="s">
        <v>27</v>
      </c>
      <c r="K514" s="3">
        <v>1</v>
      </c>
      <c r="L514" s="6" t="s">
        <v>211</v>
      </c>
      <c r="M514" s="3">
        <v>81</v>
      </c>
      <c r="N514" s="3">
        <f t="shared" si="60"/>
        <v>0.81</v>
      </c>
      <c r="O514" s="3">
        <v>80</v>
      </c>
      <c r="P514" s="3">
        <v>0.8</v>
      </c>
      <c r="Q514" s="17">
        <v>4.7750000000000001E-2</v>
      </c>
      <c r="R514" s="21">
        <v>0.3886700078472739</v>
      </c>
      <c r="S514" s="3">
        <v>2</v>
      </c>
      <c r="T514" s="3">
        <v>28.92</v>
      </c>
      <c r="U514" s="3">
        <v>89.73</v>
      </c>
      <c r="V514" s="26">
        <v>1.8576865129011899</v>
      </c>
      <c r="W514" s="18">
        <v>1.3344545231604601</v>
      </c>
      <c r="X514" s="18">
        <v>1.43696177665893</v>
      </c>
      <c r="Y514" s="18">
        <v>1.7848714561078001</v>
      </c>
      <c r="Z514" s="18">
        <v>1.34684216485134</v>
      </c>
      <c r="AA514" s="18">
        <v>1.0645742248630401</v>
      </c>
      <c r="AB514" s="18">
        <v>-1.8249705642188301</v>
      </c>
      <c r="AC514" s="18">
        <v>0.35627281937945299</v>
      </c>
      <c r="AD514" s="18">
        <v>-1.30726779259361</v>
      </c>
      <c r="AE514" s="21">
        <v>-1.40122687417305</v>
      </c>
      <c r="AF514" s="3">
        <v>4.2631600000000001</v>
      </c>
      <c r="AG514" s="3">
        <v>0.17580299999999999</v>
      </c>
      <c r="AH514" s="3">
        <v>2.7790699999999999</v>
      </c>
      <c r="AI514" s="3">
        <v>7.0460500000000001</v>
      </c>
      <c r="AJ514" s="3">
        <v>9.9666099999999994E-2</v>
      </c>
      <c r="AK514" s="3">
        <v>0.64199899999999999</v>
      </c>
      <c r="AL514" s="3">
        <v>1.3421099999999999</v>
      </c>
      <c r="AM514" s="3">
        <v>9.6728499999999995E-2</v>
      </c>
      <c r="AN514" s="3">
        <v>4.6278800000000002</v>
      </c>
      <c r="AO514" s="3">
        <v>13.9145</v>
      </c>
      <c r="AP514" s="3">
        <v>0.86806099999999997</v>
      </c>
      <c r="AQ514" s="3">
        <v>2.8694799999999998</v>
      </c>
      <c r="AR514" s="3">
        <v>12.513199999999999</v>
      </c>
      <c r="AS514" s="3">
        <v>0.32530199999999998</v>
      </c>
      <c r="AT514" s="3">
        <v>1.56515</v>
      </c>
      <c r="AU514" s="3">
        <v>7.9342100000000002</v>
      </c>
      <c r="AV514" s="3">
        <v>0.47020299999999998</v>
      </c>
      <c r="AW514" s="3">
        <v>2.6797</v>
      </c>
      <c r="AX514" s="3">
        <v>0.15789500000000001</v>
      </c>
      <c r="AY514" s="3">
        <v>8.2191E-2</v>
      </c>
      <c r="AZ514" s="21">
        <v>2.4406300000000001</v>
      </c>
      <c r="BA514" s="3">
        <v>60.81</v>
      </c>
      <c r="BB514" s="3">
        <v>1</v>
      </c>
    </row>
    <row r="515" spans="1:54" ht="157.5" customHeight="1" x14ac:dyDescent="0.25">
      <c r="A515" s="2">
        <v>513</v>
      </c>
      <c r="B515" s="3">
        <v>13</v>
      </c>
      <c r="C515" s="2">
        <v>2</v>
      </c>
      <c r="D515" s="9">
        <v>81</v>
      </c>
      <c r="E515" s="3" t="s">
        <v>16</v>
      </c>
      <c r="F515" s="3">
        <f t="shared" si="67"/>
        <v>2</v>
      </c>
      <c r="G515" s="12"/>
      <c r="H515" s="3" t="s">
        <v>26</v>
      </c>
      <c r="I515" s="3">
        <f t="shared" ref="I515:I578" si="68">IF(OR(H515="HM1",H515="SM1"),1, IF(OR(H515="HM2",H515="SM2"),2,IF(OR(H515="HM3",H515="SM3"),3 )))</f>
        <v>2</v>
      </c>
      <c r="J515" s="3" t="s">
        <v>28</v>
      </c>
      <c r="K515" s="3">
        <v>2</v>
      </c>
      <c r="L515" s="6" t="s">
        <v>269</v>
      </c>
      <c r="M515" s="3">
        <v>81</v>
      </c>
      <c r="N515" s="3">
        <f t="shared" ref="N515:N578" si="69">M515/100</f>
        <v>0.81</v>
      </c>
      <c r="O515" s="3">
        <v>80</v>
      </c>
      <c r="P515" s="3">
        <v>0.8</v>
      </c>
      <c r="Q515" s="17">
        <v>-4.6183226495726509E-2</v>
      </c>
      <c r="R515" s="21">
        <v>0.25014707754849219</v>
      </c>
      <c r="S515" s="3">
        <v>3</v>
      </c>
      <c r="T515" s="3">
        <v>89.73</v>
      </c>
      <c r="U515" s="3">
        <v>186.46</v>
      </c>
      <c r="V515" s="26">
        <v>0.50208420352086203</v>
      </c>
      <c r="W515" s="18">
        <v>1.3831917417036299</v>
      </c>
      <c r="X515" s="18">
        <v>1.2424188489865899</v>
      </c>
      <c r="Y515" s="18">
        <v>0.123676551894685</v>
      </c>
      <c r="Z515" s="18">
        <v>0.450390576388564</v>
      </c>
      <c r="AA515" s="18">
        <v>0.52859262266243101</v>
      </c>
      <c r="AB515" s="18">
        <v>-0.26111516733645201</v>
      </c>
      <c r="AC515" s="18">
        <v>-0.16320644193301301</v>
      </c>
      <c r="AD515" s="18">
        <v>-0.78567341785433198</v>
      </c>
      <c r="AE515" s="21">
        <v>0.28781323894174599</v>
      </c>
      <c r="AF515" s="3">
        <v>2.9162400000000002</v>
      </c>
      <c r="AG515" s="3">
        <v>0.15102599999999999</v>
      </c>
      <c r="AH515" s="3">
        <v>2.65476</v>
      </c>
      <c r="AI515" s="3">
        <v>14.606</v>
      </c>
      <c r="AJ515" s="3">
        <v>4.5617499999999998E-2</v>
      </c>
      <c r="AK515" s="3">
        <v>0.48093200000000003</v>
      </c>
      <c r="AL515" s="3">
        <v>0.85625600000000002</v>
      </c>
      <c r="AM515" s="3">
        <v>6.4365000000000006E-2</v>
      </c>
      <c r="AN515" s="3">
        <v>4.4578499999999996</v>
      </c>
      <c r="AO515" s="3">
        <v>14.4695</v>
      </c>
      <c r="AP515" s="3">
        <v>4.69042E-2</v>
      </c>
      <c r="AQ515" s="3">
        <v>0.62239</v>
      </c>
      <c r="AR515" s="3">
        <v>3.9462299999999999</v>
      </c>
      <c r="AS515" s="3">
        <v>8.3286700000000005E-2</v>
      </c>
      <c r="AT515" s="3">
        <v>1.0739000000000001</v>
      </c>
      <c r="AU515" s="3">
        <v>4.6783900000000003</v>
      </c>
      <c r="AV515" s="3">
        <v>0.18034900000000001</v>
      </c>
      <c r="AW515" s="3">
        <v>1.4767699999999999</v>
      </c>
      <c r="AX515" s="3">
        <v>1.40228</v>
      </c>
      <c r="AY515" s="3">
        <v>0.39853300000000003</v>
      </c>
      <c r="AZ515" s="21">
        <v>4.07524</v>
      </c>
      <c r="BA515" s="3">
        <v>96.73</v>
      </c>
      <c r="BB515" s="3">
        <v>2</v>
      </c>
    </row>
    <row r="516" spans="1:54" ht="47.25" customHeight="1" x14ac:dyDescent="0.25">
      <c r="A516" s="2">
        <v>514</v>
      </c>
      <c r="B516" s="3">
        <v>13</v>
      </c>
      <c r="C516" s="2">
        <v>2</v>
      </c>
      <c r="D516" s="9">
        <v>81</v>
      </c>
      <c r="E516" s="3" t="s">
        <v>16</v>
      </c>
      <c r="F516" s="3">
        <f t="shared" si="67"/>
        <v>2</v>
      </c>
      <c r="G516" s="12"/>
      <c r="H516" s="3" t="s">
        <v>26</v>
      </c>
      <c r="I516" s="3">
        <f t="shared" si="68"/>
        <v>2</v>
      </c>
      <c r="J516" s="3" t="s">
        <v>29</v>
      </c>
      <c r="K516" s="3">
        <v>3</v>
      </c>
      <c r="L516" s="6" t="s">
        <v>175</v>
      </c>
      <c r="M516" s="3">
        <v>81</v>
      </c>
      <c r="N516" s="3">
        <f t="shared" si="69"/>
        <v>0.81</v>
      </c>
      <c r="O516" s="3">
        <v>80</v>
      </c>
      <c r="P516" s="3">
        <v>0.8</v>
      </c>
      <c r="Q516" s="17">
        <v>7.6249999999999984E-2</v>
      </c>
      <c r="R516" s="21">
        <v>0.46041760935046783</v>
      </c>
      <c r="S516" s="3">
        <v>4</v>
      </c>
      <c r="T516" s="3">
        <v>186.46</v>
      </c>
      <c r="U516" s="3">
        <v>218.3</v>
      </c>
      <c r="V516" s="26">
        <v>1.0642673061996599</v>
      </c>
      <c r="W516" s="18">
        <v>0.52427116242934102</v>
      </c>
      <c r="X516" s="18">
        <v>3.2081509221870599E-2</v>
      </c>
      <c r="Y516" s="18">
        <v>1.67889426106491</v>
      </c>
      <c r="Z516" s="18">
        <v>1.48689012744798</v>
      </c>
      <c r="AA516" s="18">
        <v>0.95244709654404303</v>
      </c>
      <c r="AB516" s="18">
        <v>-1.2975024838800799</v>
      </c>
      <c r="AC516" s="18">
        <v>0.68390327860662503</v>
      </c>
      <c r="AD516" s="18">
        <v>1.90077111502143E-3</v>
      </c>
      <c r="AE516" s="21">
        <v>-0.55453021953174197</v>
      </c>
      <c r="AF516" s="3">
        <v>2.4512900000000002</v>
      </c>
      <c r="AG516" s="3">
        <v>0.18356700000000001</v>
      </c>
      <c r="AH516" s="3">
        <v>2.7338</v>
      </c>
      <c r="AI516" s="3">
        <v>3.9597699999999998</v>
      </c>
      <c r="AJ516" s="3">
        <v>0.23102300000000001</v>
      </c>
      <c r="AK516" s="3">
        <v>1.24543</v>
      </c>
      <c r="AL516" s="3">
        <v>0.33940900000000002</v>
      </c>
      <c r="AM516" s="3">
        <v>9.1073799999999996E-2</v>
      </c>
      <c r="AN516" s="3">
        <v>4.5706899999999999</v>
      </c>
      <c r="AO516" s="3">
        <v>10.9742</v>
      </c>
      <c r="AP516" s="3">
        <v>0.17927999999999999</v>
      </c>
      <c r="AQ516" s="3">
        <v>1.27074</v>
      </c>
      <c r="AR516" s="3">
        <v>15.876799999999999</v>
      </c>
      <c r="AS516" s="3">
        <v>0.15371099999999999</v>
      </c>
      <c r="AT516" s="3">
        <v>1.5233300000000001</v>
      </c>
      <c r="AU516" s="3">
        <v>5.2042700000000002</v>
      </c>
      <c r="AV516" s="3">
        <v>0.18307999999999999</v>
      </c>
      <c r="AW516" s="3">
        <v>1.4196200000000001</v>
      </c>
      <c r="AX516" s="3">
        <v>1.0559400000000001</v>
      </c>
      <c r="AY516" s="3">
        <v>0.55213400000000001</v>
      </c>
      <c r="AZ516" s="21">
        <v>3.4982199999999999</v>
      </c>
      <c r="BA516" s="3">
        <v>31.84</v>
      </c>
      <c r="BB516" s="3">
        <v>3</v>
      </c>
    </row>
    <row r="517" spans="1:54" ht="252" customHeight="1" x14ac:dyDescent="0.25">
      <c r="A517" s="2">
        <v>515</v>
      </c>
      <c r="B517" s="3">
        <v>13</v>
      </c>
      <c r="C517" s="2">
        <v>2</v>
      </c>
      <c r="D517" s="9">
        <v>81</v>
      </c>
      <c r="E517" s="3" t="s">
        <v>16</v>
      </c>
      <c r="F517" s="3">
        <f t="shared" si="67"/>
        <v>2</v>
      </c>
      <c r="G517" s="12"/>
      <c r="H517" s="3" t="s">
        <v>26</v>
      </c>
      <c r="I517" s="3">
        <f t="shared" si="68"/>
        <v>2</v>
      </c>
      <c r="J517" s="3" t="s">
        <v>30</v>
      </c>
      <c r="K517" s="3">
        <v>4</v>
      </c>
      <c r="L517" s="6" t="s">
        <v>266</v>
      </c>
      <c r="M517" s="3">
        <v>81</v>
      </c>
      <c r="N517" s="3">
        <f t="shared" si="69"/>
        <v>0.81</v>
      </c>
      <c r="O517" s="3">
        <v>80</v>
      </c>
      <c r="P517" s="3">
        <v>0.8</v>
      </c>
      <c r="Q517" s="17">
        <v>3.2917929292929277E-2</v>
      </c>
      <c r="R517" s="21">
        <v>0.16006695291559911</v>
      </c>
      <c r="S517" s="3">
        <v>5</v>
      </c>
      <c r="T517" s="3">
        <v>218.3</v>
      </c>
      <c r="U517" s="3">
        <v>368.39</v>
      </c>
      <c r="V517" s="26">
        <v>1.13255933458536</v>
      </c>
      <c r="W517" s="18">
        <v>1.5712153487115299</v>
      </c>
      <c r="X517" s="18">
        <v>1.41070228532109</v>
      </c>
      <c r="Y517" s="18">
        <v>0.96795205140680995</v>
      </c>
      <c r="Z517" s="18">
        <v>0.69432954049836104</v>
      </c>
      <c r="AA517" s="18">
        <v>0.71938285125241996</v>
      </c>
      <c r="AB517" s="18">
        <v>-1.2330511204022301</v>
      </c>
      <c r="AC517" s="18">
        <v>-0.58695200677746895</v>
      </c>
      <c r="AD517" s="18">
        <v>-0.43455044806000398</v>
      </c>
      <c r="AE517" s="21">
        <v>2.6621468872447498E-2</v>
      </c>
      <c r="AF517" s="3">
        <v>2.3347500000000001</v>
      </c>
      <c r="AG517" s="3">
        <v>0.14272299999999999</v>
      </c>
      <c r="AH517" s="3">
        <v>2.5647199999999999</v>
      </c>
      <c r="AI517" s="3">
        <v>9.4109800000000003</v>
      </c>
      <c r="AJ517" s="3">
        <v>7.6223399999999997E-2</v>
      </c>
      <c r="AK517" s="3">
        <v>0.56101199999999996</v>
      </c>
      <c r="AL517" s="3">
        <v>0.67164199999999996</v>
      </c>
      <c r="AM517" s="3">
        <v>0.49326599999999998</v>
      </c>
      <c r="AN517" s="3">
        <v>7.9263399999999997</v>
      </c>
      <c r="AO517" s="3">
        <v>12.2255</v>
      </c>
      <c r="AP517" s="3">
        <v>7.9171500000000006E-2</v>
      </c>
      <c r="AQ517" s="3">
        <v>0.70898099999999997</v>
      </c>
      <c r="AR517" s="3">
        <v>9.1231299999999997</v>
      </c>
      <c r="AS517" s="3">
        <v>0.18004400000000001</v>
      </c>
      <c r="AT517" s="3">
        <v>1.5118499999999999</v>
      </c>
      <c r="AU517" s="3">
        <v>9.0031999999999996</v>
      </c>
      <c r="AV517" s="3">
        <v>0.23627400000000001</v>
      </c>
      <c r="AW517" s="3">
        <v>1.3763399999999999</v>
      </c>
      <c r="AX517" s="3">
        <v>1.3112999999999999</v>
      </c>
      <c r="AY517" s="3">
        <v>0.29645100000000002</v>
      </c>
      <c r="AZ517" s="21">
        <v>3.5230100000000002</v>
      </c>
      <c r="BA517" s="3">
        <v>150.09</v>
      </c>
      <c r="BB517" s="3">
        <v>4</v>
      </c>
    </row>
    <row r="518" spans="1:54" ht="157.5" customHeight="1" x14ac:dyDescent="0.25">
      <c r="A518" s="2">
        <v>516</v>
      </c>
      <c r="B518" s="3">
        <v>13</v>
      </c>
      <c r="C518" s="2">
        <v>2</v>
      </c>
      <c r="D518" s="9">
        <v>81</v>
      </c>
      <c r="E518" s="3" t="s">
        <v>16</v>
      </c>
      <c r="F518" s="3">
        <f t="shared" si="67"/>
        <v>2</v>
      </c>
      <c r="G518" s="12"/>
      <c r="H518" s="3" t="s">
        <v>26</v>
      </c>
      <c r="I518" s="3">
        <f t="shared" si="68"/>
        <v>2</v>
      </c>
      <c r="J518" s="3" t="s">
        <v>31</v>
      </c>
      <c r="K518" s="3">
        <v>5</v>
      </c>
      <c r="L518" s="6" t="s">
        <v>270</v>
      </c>
      <c r="M518" s="3">
        <v>81</v>
      </c>
      <c r="N518" s="3">
        <f t="shared" si="69"/>
        <v>0.81</v>
      </c>
      <c r="O518" s="3">
        <v>80</v>
      </c>
      <c r="P518" s="3">
        <v>0.8</v>
      </c>
      <c r="Q518" s="17">
        <v>0.27655505952380949</v>
      </c>
      <c r="R518" s="21">
        <v>0.25716443447967852</v>
      </c>
      <c r="S518" s="3">
        <v>6</v>
      </c>
      <c r="T518" s="3">
        <v>368.39</v>
      </c>
      <c r="U518" s="3">
        <v>477.15</v>
      </c>
      <c r="V518" s="26">
        <v>0.62301910895325896</v>
      </c>
      <c r="W518" s="18">
        <v>0.54051690194373103</v>
      </c>
      <c r="X518" s="18">
        <v>1.22051746586195</v>
      </c>
      <c r="Y518" s="18">
        <v>0.84062761474829095</v>
      </c>
      <c r="Z518" s="18">
        <v>-0.62202488934708999</v>
      </c>
      <c r="AA518" s="18">
        <v>-0.37455309164856898</v>
      </c>
      <c r="AB518" s="18">
        <v>0.18966283432852099</v>
      </c>
      <c r="AC518" s="18">
        <v>-2.84985248942567</v>
      </c>
      <c r="AD518" s="18">
        <v>-0.42881253975023997</v>
      </c>
      <c r="AE518" s="21">
        <v>1.26510577861771</v>
      </c>
      <c r="AF518" s="3">
        <v>3.1009699999999998</v>
      </c>
      <c r="AG518" s="3">
        <v>0.52087099999999997</v>
      </c>
      <c r="AH518" s="3">
        <v>3.6648299999999998</v>
      </c>
      <c r="AI518" s="3">
        <v>13.5185</v>
      </c>
      <c r="AJ518" s="3">
        <v>0.10094599999999999</v>
      </c>
      <c r="AK518" s="3">
        <v>0.540103</v>
      </c>
      <c r="AL518" s="3">
        <v>0</v>
      </c>
      <c r="AM518" s="3">
        <v>0</v>
      </c>
      <c r="AN518" s="3">
        <v>-0.47078799999999998</v>
      </c>
      <c r="AO518" s="3">
        <v>17.888500000000001</v>
      </c>
      <c r="AP518" s="3">
        <v>0.28896500000000003</v>
      </c>
      <c r="AQ518" s="3">
        <v>1.5804199999999999</v>
      </c>
      <c r="AR518" s="3">
        <v>13.242599999999999</v>
      </c>
      <c r="AS518" s="3">
        <v>7.7864199999999995E-2</v>
      </c>
      <c r="AT518" s="3">
        <v>1.2141</v>
      </c>
      <c r="AU518" s="3">
        <v>9.1925699999999999</v>
      </c>
      <c r="AV518" s="3">
        <v>8.2294199999999998E-2</v>
      </c>
      <c r="AW518" s="3">
        <v>1.2544299999999999</v>
      </c>
      <c r="AX518" s="3">
        <v>2.2512400000000001</v>
      </c>
      <c r="AY518" s="3">
        <v>0.27473399999999998</v>
      </c>
      <c r="AZ518" s="21">
        <v>2.8159800000000001</v>
      </c>
      <c r="BA518" s="3">
        <v>108.756</v>
      </c>
      <c r="BB518" s="3">
        <v>5</v>
      </c>
    </row>
    <row r="519" spans="1:54" ht="94.5" customHeight="1" x14ac:dyDescent="0.25">
      <c r="A519" s="2">
        <v>517</v>
      </c>
      <c r="B519" s="3">
        <v>13</v>
      </c>
      <c r="C519" s="2">
        <v>2</v>
      </c>
      <c r="D519" s="9">
        <v>81</v>
      </c>
      <c r="E519" s="3" t="s">
        <v>16</v>
      </c>
      <c r="F519" s="3">
        <f t="shared" si="67"/>
        <v>2</v>
      </c>
      <c r="G519" s="12"/>
      <c r="H519" s="3" t="s">
        <v>26</v>
      </c>
      <c r="I519" s="3">
        <f t="shared" si="68"/>
        <v>2</v>
      </c>
      <c r="J519" s="3" t="s">
        <v>32</v>
      </c>
      <c r="K519" s="3">
        <v>6</v>
      </c>
      <c r="L519" s="6" t="s">
        <v>219</v>
      </c>
      <c r="M519" s="3">
        <v>81</v>
      </c>
      <c r="N519" s="3">
        <f t="shared" si="69"/>
        <v>0.81</v>
      </c>
      <c r="O519" s="3">
        <v>80</v>
      </c>
      <c r="P519" s="3">
        <v>0.8</v>
      </c>
      <c r="Q519" s="17">
        <v>0.1298333333333333</v>
      </c>
      <c r="R519" s="21">
        <v>3.6504565924461212E-2</v>
      </c>
      <c r="S519" s="3">
        <v>7</v>
      </c>
      <c r="T519" s="3">
        <v>477.15</v>
      </c>
      <c r="U519" s="3">
        <v>527.44000000000005</v>
      </c>
      <c r="V519" s="26">
        <v>-0.45521465211808498</v>
      </c>
      <c r="W519" s="18">
        <v>0.55433619446654903</v>
      </c>
      <c r="X519" s="18">
        <v>-0.37541672353919098</v>
      </c>
      <c r="Y519" s="18">
        <v>-6.1364500983851399E-2</v>
      </c>
      <c r="Z519" s="18">
        <v>9.0026197590002605E-2</v>
      </c>
      <c r="AA519" s="18">
        <v>0.16790541920648799</v>
      </c>
      <c r="AB519" s="18">
        <v>-0.14753284645335801</v>
      </c>
      <c r="AC519" s="18">
        <v>0.89043633293900304</v>
      </c>
      <c r="AD519" s="18">
        <v>-1.16326480340016</v>
      </c>
      <c r="AE519" s="21">
        <v>0.72095625764000004</v>
      </c>
      <c r="AF519" s="3">
        <v>2.3875799999999998</v>
      </c>
      <c r="AG519" s="3">
        <v>0.40041100000000002</v>
      </c>
      <c r="AH519" s="3">
        <v>3.31569</v>
      </c>
      <c r="AI519" s="3">
        <v>23.684799999999999</v>
      </c>
      <c r="AJ519" s="3">
        <v>0.25076399999999999</v>
      </c>
      <c r="AK519" s="3">
        <v>1.09337</v>
      </c>
      <c r="AL519" s="3">
        <v>0</v>
      </c>
      <c r="AM519" s="3">
        <v>5.5597899999999999E-2</v>
      </c>
      <c r="AN519" s="3">
        <v>-0.41080800000000001</v>
      </c>
      <c r="AO519" s="3">
        <v>15.901300000000001</v>
      </c>
      <c r="AP519" s="3">
        <v>5.4037000000000002E-2</v>
      </c>
      <c r="AQ519" s="3">
        <v>0.62239</v>
      </c>
      <c r="AR519" s="3">
        <v>5.8973300000000002</v>
      </c>
      <c r="AS519" s="3">
        <v>0.14729300000000001</v>
      </c>
      <c r="AT519" s="3">
        <v>1.46685</v>
      </c>
      <c r="AU519" s="3">
        <v>2.4830899999999998</v>
      </c>
      <c r="AV519" s="3">
        <v>0.124695</v>
      </c>
      <c r="AW519" s="3">
        <v>1.2104699999999999</v>
      </c>
      <c r="AX519" s="3">
        <v>2.1249500000000001</v>
      </c>
      <c r="AY519" s="3">
        <v>6.8552500000000002E-2</v>
      </c>
      <c r="AZ519" s="21">
        <v>2.59273</v>
      </c>
      <c r="BA519" s="3">
        <v>50.293999999999997</v>
      </c>
      <c r="BB519" s="3">
        <v>6</v>
      </c>
    </row>
    <row r="520" spans="1:54" ht="126" customHeight="1" x14ac:dyDescent="0.25">
      <c r="A520" s="2">
        <v>518</v>
      </c>
      <c r="B520" s="3">
        <v>13</v>
      </c>
      <c r="C520" s="2">
        <v>2</v>
      </c>
      <c r="D520" s="9">
        <v>81</v>
      </c>
      <c r="E520" s="3" t="s">
        <v>16</v>
      </c>
      <c r="F520" s="3">
        <f t="shared" si="67"/>
        <v>2</v>
      </c>
      <c r="G520" s="11" t="s">
        <v>38</v>
      </c>
      <c r="H520" s="3" t="s">
        <v>38</v>
      </c>
      <c r="I520" s="3">
        <f t="shared" si="68"/>
        <v>3</v>
      </c>
      <c r="J520" s="3" t="s">
        <v>39</v>
      </c>
      <c r="K520" s="3">
        <v>1</v>
      </c>
      <c r="L520" s="6" t="s">
        <v>242</v>
      </c>
      <c r="M520" s="3">
        <v>78</v>
      </c>
      <c r="N520" s="3">
        <f t="shared" si="69"/>
        <v>0.78</v>
      </c>
      <c r="O520" s="3">
        <v>73</v>
      </c>
      <c r="P520" s="3">
        <v>0.73</v>
      </c>
      <c r="Q520" s="17">
        <v>0.34055555555555561</v>
      </c>
      <c r="R520" s="21">
        <v>0.26274970486645161</v>
      </c>
      <c r="S520" s="3">
        <v>2</v>
      </c>
      <c r="T520" s="3">
        <v>39.049999999999997</v>
      </c>
      <c r="U520" s="3">
        <v>102.05</v>
      </c>
      <c r="V520" s="26">
        <v>-0.28921308435503801</v>
      </c>
      <c r="W520" s="18">
        <v>-0.244683427316223</v>
      </c>
      <c r="X520" s="18">
        <v>-0.60846719002487804</v>
      </c>
      <c r="Y520" s="18">
        <v>0.28072899909940502</v>
      </c>
      <c r="Z520" s="18">
        <v>0.66757338929659504</v>
      </c>
      <c r="AA520" s="18">
        <v>1.1015552839545799</v>
      </c>
      <c r="AB520" s="18">
        <v>0.92680329202872602</v>
      </c>
      <c r="AC520" s="18">
        <v>-1.1676474365485601</v>
      </c>
      <c r="AD520" s="18">
        <v>-0.66425187426704702</v>
      </c>
      <c r="AE520" s="21">
        <v>-0.156212770176061</v>
      </c>
      <c r="AF520" s="3">
        <v>9.1267099999999992</v>
      </c>
      <c r="AG520" s="3">
        <v>0.19633300000000001</v>
      </c>
      <c r="AH520" s="3">
        <v>2.4369499999999999</v>
      </c>
      <c r="AI520" s="3">
        <v>40.393799999999999</v>
      </c>
      <c r="AJ520" s="3">
        <v>0.104916</v>
      </c>
      <c r="AK520" s="3">
        <v>-8.1088900000000005E-2</v>
      </c>
      <c r="AL520" s="3">
        <v>0</v>
      </c>
      <c r="AM520" s="3">
        <v>0</v>
      </c>
      <c r="AN520" s="3">
        <v>-0.47167500000000001</v>
      </c>
      <c r="AO520" s="3">
        <v>4.76342</v>
      </c>
      <c r="AP520" s="3">
        <v>7.37651E-2</v>
      </c>
      <c r="AQ520" s="3">
        <v>1.1375</v>
      </c>
      <c r="AR520" s="3">
        <v>1.3718600000000001</v>
      </c>
      <c r="AS520" s="3">
        <v>0.13215399999999999</v>
      </c>
      <c r="AT520" s="3">
        <v>1.83416</v>
      </c>
      <c r="AU520" s="3">
        <v>7.1260700000000003</v>
      </c>
      <c r="AV520" s="3">
        <v>6.6638299999999998E-2</v>
      </c>
      <c r="AW520" s="3">
        <v>1.1607499999999999</v>
      </c>
      <c r="AX520" s="3">
        <v>0.85741500000000004</v>
      </c>
      <c r="AY520" s="3">
        <v>0.29075899999999999</v>
      </c>
      <c r="AZ520" s="21">
        <v>2.2613599999999998</v>
      </c>
      <c r="BA520" s="3">
        <v>63</v>
      </c>
      <c r="BB520" s="3">
        <v>1</v>
      </c>
    </row>
    <row r="521" spans="1:54" ht="78.75" customHeight="1" x14ac:dyDescent="0.25">
      <c r="A521" s="2">
        <v>519</v>
      </c>
      <c r="B521" s="3">
        <v>13</v>
      </c>
      <c r="C521" s="2">
        <v>2</v>
      </c>
      <c r="D521" s="9">
        <v>81</v>
      </c>
      <c r="E521" s="3" t="s">
        <v>16</v>
      </c>
      <c r="F521" s="3">
        <f>IF(E522="Happy", 1,2)</f>
        <v>1</v>
      </c>
      <c r="G521" s="12"/>
      <c r="H521" s="3" t="s">
        <v>38</v>
      </c>
      <c r="I521" s="3">
        <f t="shared" si="68"/>
        <v>3</v>
      </c>
      <c r="J521" s="3" t="s">
        <v>40</v>
      </c>
      <c r="K521" s="3">
        <v>2</v>
      </c>
      <c r="L521" s="6" t="s">
        <v>156</v>
      </c>
      <c r="M521" s="3">
        <v>78</v>
      </c>
      <c r="N521" s="3">
        <f t="shared" si="69"/>
        <v>0.78</v>
      </c>
      <c r="O521" s="3">
        <v>73</v>
      </c>
      <c r="P521" s="3">
        <v>0.73</v>
      </c>
      <c r="Q521" s="17">
        <v>0.18958333333333341</v>
      </c>
      <c r="R521" s="21">
        <v>0.27057680158423703</v>
      </c>
      <c r="S521" s="3">
        <v>3</v>
      </c>
      <c r="T521" s="3">
        <v>102.05</v>
      </c>
      <c r="U521" s="3">
        <v>135.85</v>
      </c>
      <c r="V521" s="26">
        <v>3.10133831405853</v>
      </c>
      <c r="W521" s="18">
        <v>2.1227061355471601</v>
      </c>
      <c r="X521" s="18">
        <v>2.93740553257462</v>
      </c>
      <c r="Y521" s="18">
        <v>1.74790119618385</v>
      </c>
      <c r="Z521" s="18">
        <v>1.39794400318264</v>
      </c>
      <c r="AA521" s="18">
        <v>1.66051946525163</v>
      </c>
      <c r="AB521" s="18">
        <v>-1.6347568635358001</v>
      </c>
      <c r="AC521" s="18">
        <v>-0.11648382114683301</v>
      </c>
      <c r="AD521" s="18">
        <v>-0.867484884722594</v>
      </c>
      <c r="AE521" s="21">
        <v>0.45758788948679002</v>
      </c>
      <c r="AF521" s="3">
        <v>1.5275300000000001</v>
      </c>
      <c r="AG521" s="3">
        <v>0.132859</v>
      </c>
      <c r="AH521" s="3">
        <v>2.2509199999999998</v>
      </c>
      <c r="AI521" s="3">
        <v>27.744199999999999</v>
      </c>
      <c r="AJ521" s="3">
        <v>7.4785400000000002E-2</v>
      </c>
      <c r="AK521" s="3">
        <v>-4.7851999999999999E-2</v>
      </c>
      <c r="AL521" s="3">
        <v>0</v>
      </c>
      <c r="AM521" s="3">
        <v>0</v>
      </c>
      <c r="AN521" s="3">
        <v>-0.47167500000000001</v>
      </c>
      <c r="AO521" s="3">
        <v>15.346399999999999</v>
      </c>
      <c r="AP521" s="3">
        <v>0.12328500000000001</v>
      </c>
      <c r="AQ521" s="3">
        <v>1.2665900000000001</v>
      </c>
      <c r="AR521" s="3">
        <v>13.072800000000001</v>
      </c>
      <c r="AS521" s="3">
        <v>0.15629100000000001</v>
      </c>
      <c r="AT521" s="3">
        <v>1.8045500000000001</v>
      </c>
      <c r="AU521" s="3">
        <v>8.2060399999999998</v>
      </c>
      <c r="AV521" s="3">
        <v>0.18854099999999999</v>
      </c>
      <c r="AW521" s="3">
        <v>1.6457999999999999</v>
      </c>
      <c r="AX521" s="3">
        <v>0.461812</v>
      </c>
      <c r="AY521" s="3">
        <v>4.8887600000000003E-2</v>
      </c>
      <c r="AZ521" s="21">
        <v>1.81087</v>
      </c>
      <c r="BA521" s="3">
        <v>33.799999999999997</v>
      </c>
      <c r="BB521" s="3">
        <v>2</v>
      </c>
    </row>
    <row r="522" spans="1:54" ht="157.5" customHeight="1" x14ac:dyDescent="0.25">
      <c r="A522" s="2">
        <v>520</v>
      </c>
      <c r="B522" s="3">
        <v>13</v>
      </c>
      <c r="C522" s="2">
        <v>2</v>
      </c>
      <c r="D522" s="9">
        <v>81</v>
      </c>
      <c r="E522" s="3" t="s">
        <v>16</v>
      </c>
      <c r="F522" s="3">
        <f>IF(E523="Happy", 1,2)</f>
        <v>1</v>
      </c>
      <c r="G522" s="12"/>
      <c r="H522" s="3" t="s">
        <v>38</v>
      </c>
      <c r="I522" s="3">
        <f t="shared" si="68"/>
        <v>3</v>
      </c>
      <c r="J522" s="3" t="s">
        <v>41</v>
      </c>
      <c r="K522" s="3">
        <v>3</v>
      </c>
      <c r="L522" s="6" t="s">
        <v>230</v>
      </c>
      <c r="M522" s="3">
        <v>78</v>
      </c>
      <c r="N522" s="3">
        <f t="shared" si="69"/>
        <v>0.78</v>
      </c>
      <c r="O522" s="3">
        <v>73</v>
      </c>
      <c r="P522" s="3">
        <v>0.73</v>
      </c>
      <c r="Q522" s="17">
        <v>6.1031746031746062E-2</v>
      </c>
      <c r="R522" s="21">
        <v>0.42804008066721549</v>
      </c>
      <c r="S522" s="3">
        <v>4</v>
      </c>
      <c r="T522" s="3">
        <v>135.85</v>
      </c>
      <c r="U522" s="3">
        <v>230.24</v>
      </c>
      <c r="V522" s="26">
        <v>0.23653088503639799</v>
      </c>
      <c r="W522" s="18">
        <v>8.4167830623150697E-2</v>
      </c>
      <c r="X522" s="18">
        <v>-2.9748109486462202E-3</v>
      </c>
      <c r="Y522" s="18">
        <v>9.2145885389831303E-2</v>
      </c>
      <c r="Z522" s="18">
        <v>-0.452569265069238</v>
      </c>
      <c r="AA522" s="18">
        <v>-0.26044110422579198</v>
      </c>
      <c r="AB522" s="18">
        <v>0.248743250849882</v>
      </c>
      <c r="AC522" s="18">
        <v>8.1086118177584598E-2</v>
      </c>
      <c r="AD522" s="18">
        <v>0.700074646741908</v>
      </c>
      <c r="AE522" s="21">
        <v>-0.72648146816069703</v>
      </c>
      <c r="AF522" s="3">
        <v>8.1754599999999993</v>
      </c>
      <c r="AG522" s="3">
        <v>0.14149700000000001</v>
      </c>
      <c r="AH522" s="3">
        <v>2.0340099999999999</v>
      </c>
      <c r="AI522" s="3">
        <v>25.238399999999999</v>
      </c>
      <c r="AJ522" s="3">
        <v>0.121347</v>
      </c>
      <c r="AK522" s="3">
        <v>3.1299599999999997E-2</v>
      </c>
      <c r="AL522" s="3">
        <v>8.9001899999999995E-2</v>
      </c>
      <c r="AM522" s="3">
        <v>0.17461499999999999</v>
      </c>
      <c r="AN522" s="3">
        <v>5.2234499999999997</v>
      </c>
      <c r="AO522" s="3">
        <v>6.7895700000000003</v>
      </c>
      <c r="AP522" s="3">
        <v>9.4339800000000001E-2</v>
      </c>
      <c r="AQ522" s="3">
        <v>1.1781600000000001</v>
      </c>
      <c r="AR522" s="3">
        <v>5.4164000000000003</v>
      </c>
      <c r="AS522" s="3">
        <v>0.21015900000000001</v>
      </c>
      <c r="AT522" s="3">
        <v>2.3131699999999999</v>
      </c>
      <c r="AU522" s="3">
        <v>4.2975199999999996</v>
      </c>
      <c r="AV522" s="3">
        <v>7.5689400000000004E-2</v>
      </c>
      <c r="AW522" s="3">
        <v>1.26779</v>
      </c>
      <c r="AX522" s="3">
        <v>4.9332500000000001</v>
      </c>
      <c r="AY522" s="3">
        <v>0.244176</v>
      </c>
      <c r="AZ522" s="21">
        <v>3.43296</v>
      </c>
      <c r="BA522" s="3">
        <v>94.393000000000001</v>
      </c>
      <c r="BB522" s="3">
        <v>3</v>
      </c>
    </row>
    <row r="523" spans="1:54" ht="173.25" customHeight="1" x14ac:dyDescent="0.25">
      <c r="A523" s="2">
        <v>521</v>
      </c>
      <c r="B523" s="3">
        <v>13</v>
      </c>
      <c r="C523" s="2">
        <v>2</v>
      </c>
      <c r="D523" s="9">
        <v>81</v>
      </c>
      <c r="E523" s="3" t="s">
        <v>16</v>
      </c>
      <c r="F523" s="3">
        <f t="shared" ref="F523:F530" si="70">IF(E523="Happy", 1,2)</f>
        <v>1</v>
      </c>
      <c r="G523" s="12"/>
      <c r="H523" s="3" t="s">
        <v>38</v>
      </c>
      <c r="I523" s="3">
        <f t="shared" si="68"/>
        <v>3</v>
      </c>
      <c r="J523" s="3" t="s">
        <v>42</v>
      </c>
      <c r="K523" s="3">
        <v>4</v>
      </c>
      <c r="L523" s="6" t="s">
        <v>271</v>
      </c>
      <c r="M523" s="3">
        <v>78</v>
      </c>
      <c r="N523" s="3">
        <f t="shared" si="69"/>
        <v>0.78</v>
      </c>
      <c r="O523" s="3">
        <v>73</v>
      </c>
      <c r="P523" s="3">
        <v>0.73</v>
      </c>
      <c r="Q523" s="17">
        <v>2.5408333333333321E-2</v>
      </c>
      <c r="R523" s="21">
        <v>0.30674646820488882</v>
      </c>
      <c r="S523" s="3">
        <v>5</v>
      </c>
      <c r="T523" s="3">
        <v>230.24</v>
      </c>
      <c r="U523" s="3">
        <v>337.98</v>
      </c>
      <c r="V523" s="26">
        <v>-1.3213385138540601</v>
      </c>
      <c r="W523" s="18">
        <v>-0.81163890849727804</v>
      </c>
      <c r="X523" s="18">
        <v>-1.0288986757146099</v>
      </c>
      <c r="Y523" s="18">
        <v>-1.4210816170675201E-2</v>
      </c>
      <c r="Z523" s="18">
        <v>-1.9288348085681702E-2</v>
      </c>
      <c r="AA523" s="18">
        <v>0.20523469919343201</v>
      </c>
      <c r="AB523" s="18">
        <v>0.78302040055423605</v>
      </c>
      <c r="AC523" s="18">
        <v>-0.77784728598957498</v>
      </c>
      <c r="AD523" s="18">
        <v>-1.2166358934724999E-2</v>
      </c>
      <c r="AE523" s="21">
        <v>0.31828561211649797</v>
      </c>
      <c r="AF523" s="3">
        <v>3.9888599999999999</v>
      </c>
      <c r="AG523" s="3">
        <v>6.4541100000000004E-2</v>
      </c>
      <c r="AH523" s="3">
        <v>1.95241</v>
      </c>
      <c r="AI523" s="3">
        <v>29.559899999999999</v>
      </c>
      <c r="AJ523" s="3">
        <v>0.34274300000000002</v>
      </c>
      <c r="AK523" s="3">
        <v>0.49848500000000001</v>
      </c>
      <c r="AL523" s="3">
        <v>1.22563</v>
      </c>
      <c r="AM523" s="3">
        <v>0.16070699999999999</v>
      </c>
      <c r="AN523" s="3">
        <v>5.3232499999999998</v>
      </c>
      <c r="AO523" s="3">
        <v>12.9694</v>
      </c>
      <c r="AP523" s="3">
        <v>0.192713</v>
      </c>
      <c r="AQ523" s="3">
        <v>1.51166</v>
      </c>
      <c r="AR523" s="3">
        <v>6.7186599999999999</v>
      </c>
      <c r="AS523" s="3">
        <v>4.5039700000000002E-2</v>
      </c>
      <c r="AT523" s="3">
        <v>1.2965100000000001</v>
      </c>
      <c r="AU523" s="3">
        <v>7.4317500000000001</v>
      </c>
      <c r="AV523" s="3">
        <v>9.4280900000000001E-2</v>
      </c>
      <c r="AW523" s="3">
        <v>1.2959499999999999</v>
      </c>
      <c r="AX523" s="3">
        <v>6.2841199999999997</v>
      </c>
      <c r="AY523" s="3">
        <v>6.7328700000000005E-2</v>
      </c>
      <c r="AZ523" s="21">
        <v>1.8902600000000001</v>
      </c>
      <c r="BA523" s="3">
        <v>107.73699999999999</v>
      </c>
      <c r="BB523" s="3">
        <v>4</v>
      </c>
    </row>
    <row r="524" spans="1:54" ht="141.75" customHeight="1" x14ac:dyDescent="0.25">
      <c r="A524" s="2">
        <v>522</v>
      </c>
      <c r="B524" s="3">
        <v>13</v>
      </c>
      <c r="C524" s="2">
        <v>2</v>
      </c>
      <c r="D524" s="9">
        <v>81</v>
      </c>
      <c r="E524" s="3" t="s">
        <v>53</v>
      </c>
      <c r="F524" s="3">
        <f t="shared" si="70"/>
        <v>2</v>
      </c>
      <c r="G524" s="11" t="s">
        <v>54</v>
      </c>
      <c r="H524" s="3" t="s">
        <v>54</v>
      </c>
      <c r="I524" s="3">
        <f t="shared" si="68"/>
        <v>1</v>
      </c>
      <c r="J524" s="3" t="s">
        <v>55</v>
      </c>
      <c r="K524" s="3">
        <v>1</v>
      </c>
      <c r="L524" s="6" t="s">
        <v>238</v>
      </c>
      <c r="M524" s="3">
        <v>-9</v>
      </c>
      <c r="N524" s="3">
        <f t="shared" si="69"/>
        <v>-0.09</v>
      </c>
      <c r="O524" s="3">
        <v>38</v>
      </c>
      <c r="P524" s="3">
        <v>0.38</v>
      </c>
      <c r="Q524" s="17">
        <v>2.272727272727267E-3</v>
      </c>
      <c r="R524" s="21">
        <v>0.28117044329341973</v>
      </c>
      <c r="S524" s="3">
        <v>2</v>
      </c>
      <c r="T524" s="3">
        <v>33.520000000000003</v>
      </c>
      <c r="U524" s="3">
        <v>150.59</v>
      </c>
      <c r="V524" s="26">
        <v>-0.89767813014643705</v>
      </c>
      <c r="W524" s="18">
        <v>-1.2187196505597899</v>
      </c>
      <c r="X524" s="18">
        <v>-0.90406280721432997</v>
      </c>
      <c r="Y524" s="18">
        <v>-1.3389415669784299</v>
      </c>
      <c r="Z524" s="18">
        <v>-1.78748426827087</v>
      </c>
      <c r="AA524" s="18">
        <v>-1.6651293741822799</v>
      </c>
      <c r="AB524" s="18">
        <v>0.13114005710865301</v>
      </c>
      <c r="AC524" s="18">
        <v>0.828075937032551</v>
      </c>
      <c r="AD524" s="18">
        <v>0.49128882179304001</v>
      </c>
      <c r="AE524" s="21">
        <v>1.35434630005805</v>
      </c>
      <c r="AF524" s="3">
        <v>0.25627899999999998</v>
      </c>
      <c r="AG524" s="3">
        <v>0.149455</v>
      </c>
      <c r="AH524" s="3">
        <v>3.6025</v>
      </c>
      <c r="AI524" s="3">
        <v>23.895399999999999</v>
      </c>
      <c r="AJ524" s="3">
        <v>0.16234699999999999</v>
      </c>
      <c r="AK524" s="3">
        <v>0.78373999999999999</v>
      </c>
      <c r="AL524" s="3">
        <v>0</v>
      </c>
      <c r="AM524" s="3">
        <v>0.122693</v>
      </c>
      <c r="AN524" s="3">
        <v>-0.33839999999999998</v>
      </c>
      <c r="AO524" s="3">
        <v>17.2117</v>
      </c>
      <c r="AP524" s="3">
        <v>0.34495100000000001</v>
      </c>
      <c r="AQ524" s="3">
        <v>1.8851899999999999</v>
      </c>
      <c r="AR524" s="3">
        <v>11.3583</v>
      </c>
      <c r="AS524" s="3">
        <v>6.5846100000000005E-2</v>
      </c>
      <c r="AT524" s="3">
        <v>1.5060899999999999</v>
      </c>
      <c r="AU524" s="3">
        <v>3.37263</v>
      </c>
      <c r="AV524" s="3">
        <v>9.1043299999999994E-2</v>
      </c>
      <c r="AW524" s="3">
        <v>2.1733199999999999</v>
      </c>
      <c r="AX524" s="3">
        <v>1.2403900000000001</v>
      </c>
      <c r="AY524" s="3">
        <v>0.122137</v>
      </c>
      <c r="AZ524" s="21">
        <v>3.6366299999999998</v>
      </c>
      <c r="BA524" s="3">
        <v>117.07</v>
      </c>
      <c r="BB524" s="3">
        <v>1</v>
      </c>
    </row>
    <row r="525" spans="1:54" ht="283.5" customHeight="1" x14ac:dyDescent="0.25">
      <c r="A525" s="2">
        <v>523</v>
      </c>
      <c r="B525" s="3">
        <v>13</v>
      </c>
      <c r="C525" s="2">
        <v>2</v>
      </c>
      <c r="D525" s="9">
        <v>81</v>
      </c>
      <c r="E525" s="3" t="s">
        <v>53</v>
      </c>
      <c r="F525" s="3">
        <f t="shared" si="70"/>
        <v>2</v>
      </c>
      <c r="G525" s="12"/>
      <c r="H525" s="3" t="s">
        <v>54</v>
      </c>
      <c r="I525" s="3">
        <f t="shared" si="68"/>
        <v>1</v>
      </c>
      <c r="J525" s="3" t="s">
        <v>56</v>
      </c>
      <c r="K525" s="3">
        <v>2</v>
      </c>
      <c r="L525" s="6" t="s">
        <v>272</v>
      </c>
      <c r="M525" s="3">
        <v>-9</v>
      </c>
      <c r="N525" s="3">
        <f t="shared" si="69"/>
        <v>-0.09</v>
      </c>
      <c r="O525" s="3">
        <v>38</v>
      </c>
      <c r="P525" s="3">
        <v>0.38</v>
      </c>
      <c r="Q525" s="17">
        <v>0.26373737373737383</v>
      </c>
      <c r="R525" s="21">
        <v>0.34441651687042207</v>
      </c>
      <c r="S525" s="3">
        <v>3</v>
      </c>
      <c r="T525" s="3">
        <v>150.59</v>
      </c>
      <c r="U525" s="3">
        <v>294.77999999999997</v>
      </c>
      <c r="V525" s="26">
        <v>-7.9495166241282306E-2</v>
      </c>
      <c r="W525" s="18">
        <v>-0.12636029118641201</v>
      </c>
      <c r="X525" s="18">
        <v>-0.159753345427814</v>
      </c>
      <c r="Y525" s="18">
        <v>-0.87841040785738</v>
      </c>
      <c r="Z525" s="18">
        <v>-0.5293425457698</v>
      </c>
      <c r="AA525" s="18">
        <v>-0.50311624623047102</v>
      </c>
      <c r="AB525" s="18">
        <v>-1.0532271203891199</v>
      </c>
      <c r="AC525" s="18">
        <v>-0.13765202893159101</v>
      </c>
      <c r="AD525" s="18">
        <v>-0.630749893490678</v>
      </c>
      <c r="AE525" s="21">
        <v>-0.659006927559462</v>
      </c>
      <c r="AF525" s="3">
        <v>1.5233099999999999</v>
      </c>
      <c r="AG525" s="3">
        <v>3.2506399999999998E-2</v>
      </c>
      <c r="AH525" s="3">
        <v>3.1414</v>
      </c>
      <c r="AI525" s="3">
        <v>26.354099999999999</v>
      </c>
      <c r="AJ525" s="3">
        <v>8.0600500000000005E-2</v>
      </c>
      <c r="AK525" s="3">
        <v>0.47670899999999999</v>
      </c>
      <c r="AL525" s="3">
        <v>1.1071</v>
      </c>
      <c r="AM525" s="3">
        <v>6.2423300000000001E-2</v>
      </c>
      <c r="AN525" s="3">
        <v>4.4961399999999996</v>
      </c>
      <c r="AO525" s="3">
        <v>12.6776</v>
      </c>
      <c r="AP525" s="3">
        <v>5.7990699999999999E-2</v>
      </c>
      <c r="AQ525" s="3">
        <v>1.06111</v>
      </c>
      <c r="AR525" s="3">
        <v>6.5427299999999997</v>
      </c>
      <c r="AS525" s="3">
        <v>8.7178000000000005E-2</v>
      </c>
      <c r="AT525" s="3">
        <v>1.7112499999999999</v>
      </c>
      <c r="AU525" s="3">
        <v>1.5899000000000001</v>
      </c>
      <c r="AV525" s="3">
        <v>8.0345399999999997E-2</v>
      </c>
      <c r="AW525" s="3">
        <v>2.3053400000000002</v>
      </c>
      <c r="AX525" s="3">
        <v>0.29966700000000002</v>
      </c>
      <c r="AY525" s="3">
        <v>0.13891200000000001</v>
      </c>
      <c r="AZ525" s="21">
        <v>3.9097200000000001</v>
      </c>
      <c r="BA525" s="3">
        <v>144.19</v>
      </c>
      <c r="BB525" s="3">
        <v>2</v>
      </c>
    </row>
    <row r="526" spans="1:54" ht="157.5" customHeight="1" x14ac:dyDescent="0.25">
      <c r="A526" s="2">
        <v>524</v>
      </c>
      <c r="B526" s="3">
        <v>13</v>
      </c>
      <c r="C526" s="2">
        <v>2</v>
      </c>
      <c r="D526" s="9">
        <v>81</v>
      </c>
      <c r="E526" s="3" t="s">
        <v>53</v>
      </c>
      <c r="F526" s="3">
        <f t="shared" si="70"/>
        <v>2</v>
      </c>
      <c r="G526" s="12"/>
      <c r="H526" s="3" t="s">
        <v>54</v>
      </c>
      <c r="I526" s="3">
        <f t="shared" si="68"/>
        <v>1</v>
      </c>
      <c r="J526" s="3" t="s">
        <v>57</v>
      </c>
      <c r="K526" s="3">
        <v>3</v>
      </c>
      <c r="L526" s="6" t="s">
        <v>273</v>
      </c>
      <c r="M526" s="3">
        <v>-9</v>
      </c>
      <c r="N526" s="3">
        <f t="shared" si="69"/>
        <v>-0.09</v>
      </c>
      <c r="O526" s="3">
        <v>38</v>
      </c>
      <c r="P526" s="3">
        <v>0.38</v>
      </c>
      <c r="Q526" s="17">
        <v>0.17138095238095241</v>
      </c>
      <c r="R526" s="21">
        <v>0.36916742892212412</v>
      </c>
      <c r="S526" s="3">
        <v>4</v>
      </c>
      <c r="T526" s="3">
        <v>294.77999999999997</v>
      </c>
      <c r="U526" s="3">
        <v>369.89</v>
      </c>
      <c r="V526" s="26">
        <v>-0.263508931308234</v>
      </c>
      <c r="W526" s="18">
        <v>-0.61372206268254104</v>
      </c>
      <c r="X526" s="18">
        <v>-0.46655660622452599</v>
      </c>
      <c r="Y526" s="18">
        <v>-1.08441919583393</v>
      </c>
      <c r="Z526" s="18">
        <v>-0.62588163186265899</v>
      </c>
      <c r="AA526" s="18">
        <v>-0.30637144032913199</v>
      </c>
      <c r="AB526" s="18">
        <v>0.48826400555968402</v>
      </c>
      <c r="AC526" s="18">
        <v>0.58187633117557902</v>
      </c>
      <c r="AD526" s="18">
        <v>-1.07071789517814</v>
      </c>
      <c r="AE526" s="21">
        <v>0.45758788948679002</v>
      </c>
      <c r="AF526" s="3">
        <v>1.502</v>
      </c>
      <c r="AG526" s="3">
        <v>0.22025600000000001</v>
      </c>
      <c r="AH526" s="3">
        <v>3.7803900000000001</v>
      </c>
      <c r="AI526" s="3">
        <v>29.273</v>
      </c>
      <c r="AJ526" s="3">
        <v>0.26292900000000002</v>
      </c>
      <c r="AK526" s="3">
        <v>1.3483499999999999</v>
      </c>
      <c r="AL526" s="3">
        <v>1.2783</v>
      </c>
      <c r="AM526" s="3">
        <v>0.143344</v>
      </c>
      <c r="AN526" s="3">
        <v>5.3082900000000004</v>
      </c>
      <c r="AO526" s="3">
        <v>8.4687099999999997</v>
      </c>
      <c r="AP526" s="3">
        <v>0.110391</v>
      </c>
      <c r="AQ526" s="3">
        <v>1.6508100000000001</v>
      </c>
      <c r="AR526" s="3">
        <v>2.9081199999999998</v>
      </c>
      <c r="AS526" s="3">
        <v>9.5336199999999996E-2</v>
      </c>
      <c r="AT526" s="3">
        <v>1.6583300000000001</v>
      </c>
      <c r="AU526" s="3">
        <v>2.1890800000000001</v>
      </c>
      <c r="AV526" s="3">
        <v>0.248586</v>
      </c>
      <c r="AW526" s="3">
        <v>2.3912599999999999</v>
      </c>
      <c r="AX526" s="3">
        <v>1.18242</v>
      </c>
      <c r="AY526" s="3">
        <v>0.169853</v>
      </c>
      <c r="AZ526" s="21">
        <v>4.4475600000000002</v>
      </c>
      <c r="BA526" s="3">
        <v>75.11</v>
      </c>
      <c r="BB526" s="3">
        <v>3</v>
      </c>
    </row>
    <row r="527" spans="1:54" ht="189" customHeight="1" x14ac:dyDescent="0.25">
      <c r="A527" s="2">
        <v>525</v>
      </c>
      <c r="B527" s="3">
        <v>13</v>
      </c>
      <c r="C527" s="2">
        <v>2</v>
      </c>
      <c r="D527" s="9">
        <v>81</v>
      </c>
      <c r="E527" s="3" t="s">
        <v>53</v>
      </c>
      <c r="F527" s="3">
        <f t="shared" si="70"/>
        <v>2</v>
      </c>
      <c r="G527" s="12"/>
      <c r="H527" s="3" t="s">
        <v>54</v>
      </c>
      <c r="I527" s="3">
        <f t="shared" si="68"/>
        <v>1</v>
      </c>
      <c r="J527" s="3" t="s">
        <v>58</v>
      </c>
      <c r="K527" s="3">
        <v>4</v>
      </c>
      <c r="L527" s="6" t="s">
        <v>247</v>
      </c>
      <c r="M527" s="3">
        <v>-9</v>
      </c>
      <c r="N527" s="3">
        <f t="shared" si="69"/>
        <v>-0.09</v>
      </c>
      <c r="O527" s="3">
        <v>38</v>
      </c>
      <c r="P527" s="3">
        <v>0.38</v>
      </c>
      <c r="Q527" s="17">
        <v>0.16049242424242419</v>
      </c>
      <c r="R527" s="21">
        <v>0.26473419702742901</v>
      </c>
      <c r="S527" s="3">
        <v>5</v>
      </c>
      <c r="T527" s="3">
        <v>369.89</v>
      </c>
      <c r="U527" s="3">
        <v>482.68</v>
      </c>
      <c r="V527" s="26">
        <v>-0.64709398446821498</v>
      </c>
      <c r="W527" s="18">
        <v>-0.62282384238483401</v>
      </c>
      <c r="X527" s="18">
        <v>-0.41590934285658698</v>
      </c>
      <c r="Y527" s="18">
        <v>-1.52072518891414</v>
      </c>
      <c r="Z527" s="18">
        <v>-1.4004842614741499</v>
      </c>
      <c r="AA527" s="18">
        <v>-0.98338250516698</v>
      </c>
      <c r="AB527" s="18">
        <v>0.48524101355685201</v>
      </c>
      <c r="AC527" s="18">
        <v>0.30859667572008598</v>
      </c>
      <c r="AD527" s="18">
        <v>-0.23242800050312201</v>
      </c>
      <c r="AE527" s="21">
        <v>1.2215738169394901</v>
      </c>
      <c r="AF527" s="3">
        <v>0.17027300000000001</v>
      </c>
      <c r="AG527" s="3">
        <v>0.128917</v>
      </c>
      <c r="AH527" s="3">
        <v>3.2869899999999999</v>
      </c>
      <c r="AI527" s="3">
        <v>25.913399999999999</v>
      </c>
      <c r="AJ527" s="3">
        <v>0.230957</v>
      </c>
      <c r="AK527" s="3">
        <v>0.65388199999999996</v>
      </c>
      <c r="AL527" s="3">
        <v>0.57467199999999996</v>
      </c>
      <c r="AM527" s="3">
        <v>0.166439</v>
      </c>
      <c r="AN527" s="3">
        <v>5.1014499999999998</v>
      </c>
      <c r="AO527" s="3">
        <v>10.6953</v>
      </c>
      <c r="AP527" s="3">
        <v>0.235655</v>
      </c>
      <c r="AQ527" s="3">
        <v>1.80681</v>
      </c>
      <c r="AR527" s="3">
        <v>1.7985100000000001</v>
      </c>
      <c r="AS527" s="3">
        <v>3.3257500000000002E-2</v>
      </c>
      <c r="AT527" s="3">
        <v>1.44608</v>
      </c>
      <c r="AU527" s="3">
        <v>1.7240200000000001</v>
      </c>
      <c r="AV527" s="3">
        <v>0.14485600000000001</v>
      </c>
      <c r="AW527" s="3">
        <v>2.5833300000000001</v>
      </c>
      <c r="AX527" s="3">
        <v>1.19191</v>
      </c>
      <c r="AY527" s="3">
        <v>0.24741199999999999</v>
      </c>
      <c r="AZ527" s="21">
        <v>4.4360999999999997</v>
      </c>
      <c r="BA527" s="3">
        <v>112.79</v>
      </c>
      <c r="BB527" s="3">
        <v>4</v>
      </c>
    </row>
    <row r="528" spans="1:54" ht="47.25" customHeight="1" x14ac:dyDescent="0.25">
      <c r="A528" s="2">
        <v>526</v>
      </c>
      <c r="B528" s="3">
        <v>13</v>
      </c>
      <c r="C528" s="2">
        <v>2</v>
      </c>
      <c r="D528" s="9">
        <v>81</v>
      </c>
      <c r="E528" s="3" t="s">
        <v>53</v>
      </c>
      <c r="F528" s="3">
        <f t="shared" si="70"/>
        <v>2</v>
      </c>
      <c r="G528" s="11" t="s">
        <v>76</v>
      </c>
      <c r="H528" s="3" t="s">
        <v>76</v>
      </c>
      <c r="I528" s="3">
        <f t="shared" si="68"/>
        <v>2</v>
      </c>
      <c r="J528" s="3" t="s">
        <v>77</v>
      </c>
      <c r="K528" s="3">
        <v>1</v>
      </c>
      <c r="L528" s="6" t="s">
        <v>170</v>
      </c>
      <c r="M528" s="3">
        <v>44</v>
      </c>
      <c r="N528" s="3">
        <f t="shared" si="69"/>
        <v>0.44</v>
      </c>
      <c r="O528" s="3">
        <v>59</v>
      </c>
      <c r="P528" s="3">
        <v>0.59</v>
      </c>
      <c r="Q528" s="17">
        <v>-2.178571428571428E-2</v>
      </c>
      <c r="R528" s="21">
        <v>3.773396402203625E-2</v>
      </c>
      <c r="S528" s="3">
        <v>1</v>
      </c>
      <c r="T528" s="3">
        <v>0</v>
      </c>
      <c r="U528" s="3">
        <v>37.96</v>
      </c>
      <c r="V528" s="26">
        <v>-0.28364304743776603</v>
      </c>
      <c r="W528" s="18">
        <v>0.39191004112940298</v>
      </c>
      <c r="X528" s="18">
        <v>0.171037144505407</v>
      </c>
      <c r="Y528" s="18">
        <v>-0.56870146394360299</v>
      </c>
      <c r="Z528" s="18">
        <v>0.29961604867050401</v>
      </c>
      <c r="AA528" s="18">
        <v>-3.4793964006201002E-2</v>
      </c>
      <c r="AB528" s="18">
        <v>1.76678417669905</v>
      </c>
      <c r="AC528" s="18">
        <v>0.56909912467486801</v>
      </c>
      <c r="AD528" s="18">
        <v>-0.20595958475162601</v>
      </c>
      <c r="AE528" s="21">
        <v>0.96908843920583398</v>
      </c>
      <c r="AF528" s="3">
        <v>1.89673</v>
      </c>
      <c r="AG528" s="3">
        <v>0.55664499999999995</v>
      </c>
      <c r="AH528" s="3">
        <v>4.92448</v>
      </c>
      <c r="AI528" s="3">
        <v>21.274999999999999</v>
      </c>
      <c r="AJ528" s="3">
        <v>0.21448900000000001</v>
      </c>
      <c r="AK528" s="3">
        <v>0.71326500000000004</v>
      </c>
      <c r="AL528" s="3">
        <v>0</v>
      </c>
      <c r="AM528" s="3">
        <v>0.185923</v>
      </c>
      <c r="AN528" s="3">
        <v>-0.17807100000000001</v>
      </c>
      <c r="AO528" s="3">
        <v>1.51739</v>
      </c>
      <c r="AP528" s="3">
        <v>0.16293099999999999</v>
      </c>
      <c r="AQ528" s="3">
        <v>1.1327499999999999</v>
      </c>
      <c r="AR528" s="3">
        <v>2.11802</v>
      </c>
      <c r="AS528" s="3">
        <v>2.5634799999999999E-2</v>
      </c>
      <c r="AT528" s="3">
        <v>1.3382000000000001</v>
      </c>
      <c r="AU528" s="3">
        <v>2.6870400000000001</v>
      </c>
      <c r="AV528" s="3">
        <v>0.114005</v>
      </c>
      <c r="AW528" s="3">
        <v>1.5663199999999999</v>
      </c>
      <c r="AX528" s="3">
        <v>0.25289800000000001</v>
      </c>
      <c r="AY528" s="3">
        <v>0.189807</v>
      </c>
      <c r="AZ528" s="21">
        <v>3.6760899999999999</v>
      </c>
      <c r="BA528" s="3">
        <v>37.963000000000001</v>
      </c>
      <c r="BB528" s="3">
        <v>1</v>
      </c>
    </row>
    <row r="529" spans="1:54" ht="141.75" customHeight="1" x14ac:dyDescent="0.25">
      <c r="A529" s="2">
        <v>527</v>
      </c>
      <c r="B529" s="3">
        <v>13</v>
      </c>
      <c r="C529" s="2">
        <v>2</v>
      </c>
      <c r="D529" s="9">
        <v>81</v>
      </c>
      <c r="E529" s="3" t="s">
        <v>53</v>
      </c>
      <c r="F529" s="3">
        <f t="shared" si="70"/>
        <v>2</v>
      </c>
      <c r="G529" s="12"/>
      <c r="H529" s="3" t="s">
        <v>76</v>
      </c>
      <c r="I529" s="3">
        <f t="shared" si="68"/>
        <v>2</v>
      </c>
      <c r="J529" s="3" t="s">
        <v>78</v>
      </c>
      <c r="K529" s="3">
        <v>2</v>
      </c>
      <c r="L529" s="6" t="s">
        <v>273</v>
      </c>
      <c r="M529" s="3">
        <v>44</v>
      </c>
      <c r="N529" s="3">
        <f t="shared" si="69"/>
        <v>0.44</v>
      </c>
      <c r="O529" s="3">
        <v>59</v>
      </c>
      <c r="P529" s="3">
        <v>0.59</v>
      </c>
      <c r="Q529" s="17">
        <v>7.0297619047619039E-2</v>
      </c>
      <c r="R529" s="21">
        <v>7.9385885169671905E-2</v>
      </c>
      <c r="S529" s="3">
        <v>3</v>
      </c>
      <c r="T529" s="3">
        <v>52.97</v>
      </c>
      <c r="U529" s="3">
        <v>128.4</v>
      </c>
      <c r="V529" s="26">
        <v>5.9297615125881303E-2</v>
      </c>
      <c r="W529" s="18">
        <v>-0.988092633068966</v>
      </c>
      <c r="X529" s="18">
        <v>-0.53216754750370798</v>
      </c>
      <c r="Y529" s="18">
        <v>-0.36958704437031997</v>
      </c>
      <c r="Z529" s="18">
        <v>0.72566557343736704</v>
      </c>
      <c r="AA529" s="18">
        <v>0.82249105838053904</v>
      </c>
      <c r="AB529" s="18">
        <v>0.98764467476532902</v>
      </c>
      <c r="AC529" s="18">
        <v>0.37381764024609998</v>
      </c>
      <c r="AD529" s="18">
        <v>-0.78012060336101097</v>
      </c>
      <c r="AE529" s="21">
        <v>-1.0094392190690999</v>
      </c>
      <c r="AF529" s="3">
        <v>2.1008</v>
      </c>
      <c r="AG529" s="3">
        <v>0.17709900000000001</v>
      </c>
      <c r="AH529" s="3">
        <v>3.8677999999999999</v>
      </c>
      <c r="AI529" s="3">
        <v>23.299700000000001</v>
      </c>
      <c r="AJ529" s="3">
        <v>0.18070600000000001</v>
      </c>
      <c r="AK529" s="3">
        <v>0.81542099999999995</v>
      </c>
      <c r="AL529" s="3">
        <v>1.5119400000000001</v>
      </c>
      <c r="AM529" s="3">
        <v>0.26479799999999998</v>
      </c>
      <c r="AN529" s="3">
        <v>4.0149100000000004</v>
      </c>
      <c r="AO529" s="3">
        <v>9.6445600000000002</v>
      </c>
      <c r="AP529" s="3">
        <v>0.34278500000000001</v>
      </c>
      <c r="AQ529" s="3">
        <v>1.9948999999999999</v>
      </c>
      <c r="AR529" s="3">
        <v>4.99735</v>
      </c>
      <c r="AS529" s="3">
        <v>0.15601999999999999</v>
      </c>
      <c r="AT529" s="3">
        <v>1.58003</v>
      </c>
      <c r="AU529" s="3">
        <v>3.5968200000000001</v>
      </c>
      <c r="AV529" s="3">
        <v>0.39363199999999998</v>
      </c>
      <c r="AW529" s="3">
        <v>3.1262400000000001</v>
      </c>
      <c r="AX529" s="3">
        <v>0.31830199999999997</v>
      </c>
      <c r="AY529" s="3">
        <v>0.42198999999999998</v>
      </c>
      <c r="AZ529" s="21">
        <v>4.6399600000000003</v>
      </c>
      <c r="BA529" s="3">
        <v>75.430000000000007</v>
      </c>
      <c r="BB529" s="3">
        <v>2</v>
      </c>
    </row>
    <row r="530" spans="1:54" ht="126" customHeight="1" x14ac:dyDescent="0.25">
      <c r="A530" s="2">
        <v>528</v>
      </c>
      <c r="B530" s="3">
        <v>13</v>
      </c>
      <c r="C530" s="2">
        <v>2</v>
      </c>
      <c r="D530" s="9">
        <v>81</v>
      </c>
      <c r="E530" s="3" t="s">
        <v>53</v>
      </c>
      <c r="F530" s="3">
        <f t="shared" si="70"/>
        <v>2</v>
      </c>
      <c r="G530" s="12"/>
      <c r="H530" s="3" t="s">
        <v>76</v>
      </c>
      <c r="I530" s="3">
        <f t="shared" si="68"/>
        <v>2</v>
      </c>
      <c r="J530" s="3" t="s">
        <v>79</v>
      </c>
      <c r="K530" s="3">
        <v>3</v>
      </c>
      <c r="L530" s="6" t="s">
        <v>251</v>
      </c>
      <c r="M530" s="3">
        <v>44</v>
      </c>
      <c r="N530" s="3">
        <f t="shared" si="69"/>
        <v>0.44</v>
      </c>
      <c r="O530" s="3">
        <v>59</v>
      </c>
      <c r="P530" s="3">
        <v>0.59</v>
      </c>
      <c r="Q530" s="17">
        <v>0.19991255144032921</v>
      </c>
      <c r="R530" s="21">
        <v>0.39143380015719409</v>
      </c>
      <c r="S530" s="3">
        <v>4</v>
      </c>
      <c r="T530" s="3">
        <v>128.4</v>
      </c>
      <c r="U530" s="3">
        <v>244.79</v>
      </c>
      <c r="V530" s="26">
        <v>0.202020768863242</v>
      </c>
      <c r="W530" s="18">
        <v>-0.31038494692922902</v>
      </c>
      <c r="X530" s="18">
        <v>0.16736928002076501</v>
      </c>
      <c r="Y530" s="18">
        <v>7.8578527385234104E-2</v>
      </c>
      <c r="Z530" s="18">
        <v>0.61261480844972405</v>
      </c>
      <c r="AA530" s="18">
        <v>0.84721474195398105</v>
      </c>
      <c r="AB530" s="18">
        <v>0.63145990829576004</v>
      </c>
      <c r="AC530" s="18">
        <v>-0.53851304481955198</v>
      </c>
      <c r="AD530" s="18">
        <v>0.25325817384601601</v>
      </c>
      <c r="AE530" s="21">
        <v>0.64477532470312104</v>
      </c>
      <c r="AF530" s="3">
        <v>1.76319</v>
      </c>
      <c r="AG530" s="3">
        <v>0.368367</v>
      </c>
      <c r="AH530" s="3">
        <v>4.2388399999999997</v>
      </c>
      <c r="AI530" s="3">
        <v>14.229200000000001</v>
      </c>
      <c r="AJ530" s="3">
        <v>4.2229500000000003E-2</v>
      </c>
      <c r="AK530" s="3">
        <v>0.21979199999999999</v>
      </c>
      <c r="AL530" s="3">
        <v>1.93848</v>
      </c>
      <c r="AM530" s="3">
        <v>0.114523</v>
      </c>
      <c r="AN530" s="3">
        <v>3.7408700000000001</v>
      </c>
      <c r="AO530" s="3">
        <v>16.549199999999999</v>
      </c>
      <c r="AP530" s="3">
        <v>0.78915800000000003</v>
      </c>
      <c r="AQ530" s="3">
        <v>3.87412</v>
      </c>
      <c r="AR530" s="3">
        <v>9.29026</v>
      </c>
      <c r="AS530" s="3">
        <v>0.128779</v>
      </c>
      <c r="AT530" s="3">
        <v>1.68259</v>
      </c>
      <c r="AU530" s="3">
        <v>7.1146200000000004</v>
      </c>
      <c r="AV530" s="3">
        <v>3.6815199999999999E-2</v>
      </c>
      <c r="AW530" s="3">
        <v>1.3336300000000001</v>
      </c>
      <c r="AX530" s="3">
        <v>0.98986099999999999</v>
      </c>
      <c r="AY530" s="3">
        <v>0.61737399999999998</v>
      </c>
      <c r="AZ530" s="21">
        <v>4.7982100000000001</v>
      </c>
      <c r="BA530" s="3">
        <v>116.39</v>
      </c>
      <c r="BB530" s="3">
        <v>3</v>
      </c>
    </row>
    <row r="531" spans="1:54" ht="78.75" customHeight="1" x14ac:dyDescent="0.25">
      <c r="A531" s="2">
        <v>529</v>
      </c>
      <c r="B531" s="3">
        <v>13</v>
      </c>
      <c r="C531" s="2">
        <v>2</v>
      </c>
      <c r="D531" s="9">
        <v>81</v>
      </c>
      <c r="E531" s="3" t="s">
        <v>53</v>
      </c>
      <c r="F531" s="3">
        <f>IF(E532="Happy", 1,2)</f>
        <v>2</v>
      </c>
      <c r="G531" s="12"/>
      <c r="H531" s="3" t="s">
        <v>76</v>
      </c>
      <c r="I531" s="3">
        <f t="shared" si="68"/>
        <v>2</v>
      </c>
      <c r="J531" s="3" t="s">
        <v>80</v>
      </c>
      <c r="K531" s="3">
        <v>4</v>
      </c>
      <c r="L531" s="6" t="s">
        <v>248</v>
      </c>
      <c r="M531" s="3">
        <v>44</v>
      </c>
      <c r="N531" s="3">
        <f t="shared" si="69"/>
        <v>0.44</v>
      </c>
      <c r="O531" s="3">
        <v>59</v>
      </c>
      <c r="P531" s="3">
        <v>0.59</v>
      </c>
      <c r="Q531" s="17">
        <v>-9.1043956043956042E-2</v>
      </c>
      <c r="R531" s="21">
        <v>0.14733944129402021</v>
      </c>
      <c r="S531" s="3">
        <v>6</v>
      </c>
      <c r="T531" s="3">
        <v>253.5</v>
      </c>
      <c r="U531" s="3">
        <v>351.33</v>
      </c>
      <c r="V531" s="26">
        <v>-0.61703507528609103</v>
      </c>
      <c r="W531" s="18">
        <v>-0.54162638661964002</v>
      </c>
      <c r="X531" s="18">
        <v>-0.60681463569663296</v>
      </c>
      <c r="Y531" s="18">
        <v>-0.89852425329076802</v>
      </c>
      <c r="Z531" s="18">
        <v>0.26430275001231801</v>
      </c>
      <c r="AA531" s="18">
        <v>0.30026418154825602</v>
      </c>
      <c r="AB531" s="18">
        <v>-0.32421645671594901</v>
      </c>
      <c r="AC531" s="18">
        <v>0.153172447390548</v>
      </c>
      <c r="AD531" s="18">
        <v>1.6818122491610501</v>
      </c>
      <c r="AE531" s="21">
        <v>-0.22151071269338601</v>
      </c>
      <c r="AF531" s="3">
        <v>0.711511</v>
      </c>
      <c r="AG531" s="3">
        <v>0.26605200000000001</v>
      </c>
      <c r="AH531" s="3">
        <v>4.2404999999999999</v>
      </c>
      <c r="AI531" s="3">
        <v>22.707000000000001</v>
      </c>
      <c r="AJ531" s="3">
        <v>0.17658799999999999</v>
      </c>
      <c r="AK531" s="3">
        <v>0.85840499999999997</v>
      </c>
      <c r="AL531" s="3">
        <v>0.26988299999999998</v>
      </c>
      <c r="AM531" s="3">
        <v>0.11780500000000001</v>
      </c>
      <c r="AN531" s="3">
        <v>3.7934299999999999</v>
      </c>
      <c r="AO531" s="3">
        <v>13.6782</v>
      </c>
      <c r="AP531" s="3">
        <v>0.16126699999999999</v>
      </c>
      <c r="AQ531" s="3">
        <v>1.36229</v>
      </c>
      <c r="AR531" s="3">
        <v>0</v>
      </c>
      <c r="AS531" s="3">
        <v>0.15787599999999999</v>
      </c>
      <c r="AT531" s="3">
        <v>0.57304299999999997</v>
      </c>
      <c r="AU531" s="3">
        <v>2.6620300000000001</v>
      </c>
      <c r="AV531" s="3">
        <v>0.32431700000000002</v>
      </c>
      <c r="AW531" s="3">
        <v>2.2707999999999999</v>
      </c>
      <c r="AX531" s="3">
        <v>1.4107499999999999</v>
      </c>
      <c r="AY531" s="3">
        <v>0.13703199999999999</v>
      </c>
      <c r="AZ531" s="21">
        <v>3.4453</v>
      </c>
      <c r="BA531" s="3">
        <v>97.83</v>
      </c>
      <c r="BB531" s="3">
        <v>4</v>
      </c>
    </row>
    <row r="532" spans="1:54" ht="110.25" customHeight="1" x14ac:dyDescent="0.25">
      <c r="A532" s="2">
        <v>530</v>
      </c>
      <c r="B532" s="3">
        <v>13</v>
      </c>
      <c r="C532" s="2">
        <v>2</v>
      </c>
      <c r="D532" s="9">
        <v>81</v>
      </c>
      <c r="E532" s="3" t="s">
        <v>53</v>
      </c>
      <c r="F532" s="3">
        <f>IF(E533="Happy", 1,2)</f>
        <v>2</v>
      </c>
      <c r="G532" s="12"/>
      <c r="H532" s="3" t="s">
        <v>76</v>
      </c>
      <c r="I532" s="3">
        <f t="shared" si="68"/>
        <v>2</v>
      </c>
      <c r="J532" s="3" t="s">
        <v>81</v>
      </c>
      <c r="K532" s="3">
        <v>5</v>
      </c>
      <c r="L532" s="6" t="s">
        <v>157</v>
      </c>
      <c r="M532" s="3">
        <v>44</v>
      </c>
      <c r="N532" s="3">
        <f t="shared" si="69"/>
        <v>0.44</v>
      </c>
      <c r="O532" s="3">
        <v>59</v>
      </c>
      <c r="P532" s="3">
        <v>0.59</v>
      </c>
      <c r="Q532" s="17">
        <v>0.29749999999999999</v>
      </c>
      <c r="R532" s="21">
        <v>0</v>
      </c>
      <c r="S532" s="3">
        <v>7</v>
      </c>
      <c r="T532" s="3">
        <v>351.33</v>
      </c>
      <c r="U532" s="3">
        <v>365.73</v>
      </c>
      <c r="V532" s="26">
        <v>2.9069916946263898E-2</v>
      </c>
      <c r="W532" s="18">
        <v>0.59854335102974698</v>
      </c>
      <c r="X532" s="18">
        <v>1.21054671886318</v>
      </c>
      <c r="Y532" s="18">
        <v>-0.44665849298850402</v>
      </c>
      <c r="Z532" s="18">
        <v>0.90030369547051603</v>
      </c>
      <c r="AA532" s="18">
        <v>1.0248770427873699</v>
      </c>
      <c r="AB532" s="18">
        <v>0.96096603660441704</v>
      </c>
      <c r="AC532" s="18">
        <v>-0.253028296587261</v>
      </c>
      <c r="AD532" s="18">
        <v>-0.223913684946697</v>
      </c>
      <c r="AE532" s="21">
        <v>0.70789666913653504</v>
      </c>
      <c r="AF532" s="3">
        <v>0</v>
      </c>
      <c r="AG532" s="3">
        <v>0.37220199999999998</v>
      </c>
      <c r="AH532" s="3">
        <v>0.227023</v>
      </c>
      <c r="AI532" s="3">
        <v>30.7928</v>
      </c>
      <c r="AJ532" s="3">
        <v>0.226905</v>
      </c>
      <c r="AK532" s="3">
        <v>0.635382</v>
      </c>
      <c r="AL532" s="3">
        <v>0</v>
      </c>
      <c r="AM532" s="3">
        <v>0</v>
      </c>
      <c r="AN532" s="3">
        <v>-0.46253899999999998</v>
      </c>
      <c r="AO532" s="3">
        <v>2.8372700000000002</v>
      </c>
      <c r="AP532" s="3">
        <v>9.7589999999999996E-2</v>
      </c>
      <c r="AQ532" s="3">
        <v>1.13202</v>
      </c>
      <c r="AR532" s="3">
        <v>1.4186399999999999</v>
      </c>
      <c r="AS532" s="3">
        <v>0.146872</v>
      </c>
      <c r="AT532" s="3">
        <v>1.6944699999999999</v>
      </c>
      <c r="AU532" s="3">
        <v>0</v>
      </c>
      <c r="AV532" s="3">
        <v>0</v>
      </c>
      <c r="AW532" s="3">
        <v>-1.08388</v>
      </c>
      <c r="AX532" s="3">
        <v>1.3351900000000001</v>
      </c>
      <c r="AY532" s="3">
        <v>6.0207999999999998E-2</v>
      </c>
      <c r="AZ532" s="21">
        <v>3.34117</v>
      </c>
      <c r="BA532" s="3">
        <v>14.4</v>
      </c>
      <c r="BB532" s="3">
        <v>5</v>
      </c>
    </row>
    <row r="533" spans="1:54" ht="31.5" customHeight="1" x14ac:dyDescent="0.25">
      <c r="A533" s="2">
        <v>531</v>
      </c>
      <c r="B533" s="3">
        <v>13</v>
      </c>
      <c r="C533" s="2">
        <v>2</v>
      </c>
      <c r="D533" s="9">
        <v>81</v>
      </c>
      <c r="E533" s="3" t="s">
        <v>53</v>
      </c>
      <c r="F533" s="3">
        <f t="shared" ref="F533:F540" si="71">IF(E533="Happy", 1,2)</f>
        <v>2</v>
      </c>
      <c r="G533" s="11" t="s">
        <v>84</v>
      </c>
      <c r="H533" s="3" t="s">
        <v>84</v>
      </c>
      <c r="I533" s="3">
        <f t="shared" si="68"/>
        <v>3</v>
      </c>
      <c r="J533" s="3" t="s">
        <v>85</v>
      </c>
      <c r="K533" s="3">
        <v>1</v>
      </c>
      <c r="L533" s="6" t="s">
        <v>151</v>
      </c>
      <c r="M533" s="3">
        <v>-32</v>
      </c>
      <c r="N533" s="3">
        <f t="shared" si="69"/>
        <v>-0.32</v>
      </c>
      <c r="O533" s="3">
        <v>-44</v>
      </c>
      <c r="P533" s="3">
        <v>-0.44</v>
      </c>
      <c r="Q533" s="17">
        <v>0</v>
      </c>
      <c r="R533" s="21">
        <v>0.51961524227066325</v>
      </c>
      <c r="S533" s="3">
        <v>2</v>
      </c>
      <c r="T533" s="3">
        <v>20.94</v>
      </c>
      <c r="U533" s="3">
        <v>39.15</v>
      </c>
      <c r="V533" s="26">
        <v>-1.46569650959571</v>
      </c>
      <c r="W533" s="18">
        <v>-1.73668797874361</v>
      </c>
      <c r="X533" s="18">
        <v>-1.0183963906620901</v>
      </c>
      <c r="Y533" s="18">
        <v>-1.4205038427216801</v>
      </c>
      <c r="Z533" s="18">
        <v>-2.71020991512097</v>
      </c>
      <c r="AA533" s="18">
        <v>-3.0998691074118301</v>
      </c>
      <c r="AB533" s="18">
        <v>-1.81399387481049</v>
      </c>
      <c r="AC533" s="18">
        <v>2.6491139202457399</v>
      </c>
      <c r="AD533" s="18">
        <v>0.93144191729694703</v>
      </c>
      <c r="AE533" s="21">
        <v>1.83319787851843</v>
      </c>
      <c r="AF533" s="3">
        <v>4.61538</v>
      </c>
      <c r="AG533" s="3">
        <v>9.5218999999999998E-2</v>
      </c>
      <c r="AH533" s="3">
        <v>3.4703300000000001</v>
      </c>
      <c r="AI533" s="3">
        <v>4.0219800000000001</v>
      </c>
      <c r="AJ533" s="3">
        <v>0.179925</v>
      </c>
      <c r="AK533" s="3">
        <v>0.50688900000000003</v>
      </c>
      <c r="AL533" s="3">
        <v>0</v>
      </c>
      <c r="AM533" s="3">
        <v>0</v>
      </c>
      <c r="AN533" s="3">
        <v>-0.43137300000000001</v>
      </c>
      <c r="AO533" s="3">
        <v>0.461538</v>
      </c>
      <c r="AP533" s="3">
        <v>4.8304600000000003E-2</v>
      </c>
      <c r="AQ533" s="3">
        <v>1.3541099999999999</v>
      </c>
      <c r="AR533" s="3">
        <v>4.1538500000000003</v>
      </c>
      <c r="AS533" s="3">
        <v>0.16837099999999999</v>
      </c>
      <c r="AT533" s="3">
        <v>1.99919</v>
      </c>
      <c r="AU533" s="3">
        <v>1.25275</v>
      </c>
      <c r="AV533" s="3">
        <v>0.103843</v>
      </c>
      <c r="AW533" s="3">
        <v>1.54087</v>
      </c>
      <c r="AX533" s="3">
        <v>0</v>
      </c>
      <c r="AY533" s="3">
        <v>6.1456700000000003E-2</v>
      </c>
      <c r="AZ533" s="21">
        <v>-0.47862500000000002</v>
      </c>
      <c r="BA533" s="3">
        <v>18.21</v>
      </c>
      <c r="BB533" s="3">
        <v>1</v>
      </c>
    </row>
    <row r="534" spans="1:54" ht="94.5" customHeight="1" x14ac:dyDescent="0.25">
      <c r="A534" s="2">
        <v>532</v>
      </c>
      <c r="B534" s="3">
        <v>13</v>
      </c>
      <c r="C534" s="2">
        <v>2</v>
      </c>
      <c r="D534" s="9">
        <v>81</v>
      </c>
      <c r="E534" s="3" t="s">
        <v>53</v>
      </c>
      <c r="F534" s="3">
        <f t="shared" si="71"/>
        <v>2</v>
      </c>
      <c r="G534" s="12"/>
      <c r="H534" s="3" t="s">
        <v>84</v>
      </c>
      <c r="I534" s="3">
        <f t="shared" si="68"/>
        <v>3</v>
      </c>
      <c r="J534" s="3" t="s">
        <v>86</v>
      </c>
      <c r="K534" s="3">
        <v>2</v>
      </c>
      <c r="L534" s="6" t="s">
        <v>233</v>
      </c>
      <c r="M534" s="3">
        <v>-32</v>
      </c>
      <c r="N534" s="3">
        <f t="shared" si="69"/>
        <v>-0.32</v>
      </c>
      <c r="O534" s="3">
        <v>-44</v>
      </c>
      <c r="P534" s="3">
        <v>-0.44</v>
      </c>
      <c r="Q534" s="17">
        <v>-5.1631944444444418E-2</v>
      </c>
      <c r="R534" s="21">
        <v>0.1249713026472058</v>
      </c>
      <c r="S534" s="3">
        <v>3</v>
      </c>
      <c r="T534" s="3">
        <v>39.15</v>
      </c>
      <c r="U534" s="3">
        <v>95.76</v>
      </c>
      <c r="V534" s="26">
        <v>-1.00568862091365</v>
      </c>
      <c r="W534" s="18">
        <v>-1.94083235803886</v>
      </c>
      <c r="X534" s="18">
        <v>-1.34676850840764</v>
      </c>
      <c r="Y534" s="18">
        <v>-1.04393850062208</v>
      </c>
      <c r="Z534" s="18">
        <v>-0.86427652860632398</v>
      </c>
      <c r="AA534" s="18">
        <v>-0.437441785357917</v>
      </c>
      <c r="AB534" s="18">
        <v>8.32417760540764E-2</v>
      </c>
      <c r="AC534" s="18">
        <v>0.35264943246134101</v>
      </c>
      <c r="AD534" s="18">
        <v>-3.2896866376456703E-2</v>
      </c>
      <c r="AE534" s="21">
        <v>0.42929211439595</v>
      </c>
      <c r="AF534" s="3">
        <v>4.4750800000000002</v>
      </c>
      <c r="AG534" s="3">
        <v>0.12876699999999999</v>
      </c>
      <c r="AH534" s="3">
        <v>3.4658699999999998</v>
      </c>
      <c r="AI534" s="3">
        <v>26.171800000000001</v>
      </c>
      <c r="AJ534" s="3">
        <v>4.9244299999999998E-2</v>
      </c>
      <c r="AK534" s="3">
        <v>0.16589000000000001</v>
      </c>
      <c r="AL534" s="3">
        <v>0</v>
      </c>
      <c r="AM534" s="3">
        <v>0</v>
      </c>
      <c r="AN534" s="3">
        <v>-0.43137300000000001</v>
      </c>
      <c r="AO534" s="3">
        <v>7.5079500000000001</v>
      </c>
      <c r="AP534" s="3">
        <v>0.2412</v>
      </c>
      <c r="AQ534" s="3">
        <v>1.8216399999999999</v>
      </c>
      <c r="AR534" s="3">
        <v>0.36055100000000001</v>
      </c>
      <c r="AS534" s="3">
        <v>0.12227</v>
      </c>
      <c r="AT534" s="3">
        <v>2.0066999999999999</v>
      </c>
      <c r="AU534" s="3">
        <v>2.84199</v>
      </c>
      <c r="AV534" s="3">
        <v>7.2506200000000007E-2</v>
      </c>
      <c r="AW534" s="3">
        <v>1.4516100000000001</v>
      </c>
      <c r="AX534" s="3">
        <v>2.6511100000000001</v>
      </c>
      <c r="AY534" s="3">
        <v>0.117502</v>
      </c>
      <c r="AZ534" s="21">
        <v>3.5040399999999998</v>
      </c>
      <c r="BA534" s="3">
        <v>56.61</v>
      </c>
      <c r="BB534" s="3">
        <v>2</v>
      </c>
    </row>
    <row r="535" spans="1:54" ht="47.25" customHeight="1" x14ac:dyDescent="0.25">
      <c r="A535" s="2">
        <v>533</v>
      </c>
      <c r="B535" s="3">
        <v>13</v>
      </c>
      <c r="C535" s="2">
        <v>2</v>
      </c>
      <c r="D535" s="9">
        <v>81</v>
      </c>
      <c r="E535" s="3" t="s">
        <v>53</v>
      </c>
      <c r="F535" s="3">
        <f t="shared" si="71"/>
        <v>2</v>
      </c>
      <c r="G535" s="12"/>
      <c r="H535" s="3" t="s">
        <v>84</v>
      </c>
      <c r="I535" s="3">
        <f t="shared" si="68"/>
        <v>3</v>
      </c>
      <c r="J535" s="3" t="s">
        <v>87</v>
      </c>
      <c r="K535" s="3">
        <v>3</v>
      </c>
      <c r="L535" s="6" t="s">
        <v>175</v>
      </c>
      <c r="M535" s="3">
        <v>-32</v>
      </c>
      <c r="N535" s="3">
        <f t="shared" si="69"/>
        <v>-0.32</v>
      </c>
      <c r="O535" s="3">
        <v>-44</v>
      </c>
      <c r="P535" s="3">
        <v>-0.44</v>
      </c>
      <c r="Q535" s="17">
        <v>8.7499999999999994E-2</v>
      </c>
      <c r="R535" s="21">
        <v>0.14361406616345071</v>
      </c>
      <c r="S535" s="3">
        <v>4</v>
      </c>
      <c r="T535" s="3">
        <v>95.76</v>
      </c>
      <c r="U535" s="3">
        <v>127.41</v>
      </c>
      <c r="V535" s="26">
        <v>0.115649027574641</v>
      </c>
      <c r="W535" s="18">
        <v>-0.39938244044844701</v>
      </c>
      <c r="X535" s="18">
        <v>-0.50866651194242996</v>
      </c>
      <c r="Y535" s="18">
        <v>0.57165237039143502</v>
      </c>
      <c r="Z535" s="18">
        <v>0.395311472338082</v>
      </c>
      <c r="AA535" s="18">
        <v>-0.58978842709568002</v>
      </c>
      <c r="AB535" s="18">
        <v>1.0495426372310801</v>
      </c>
      <c r="AC535" s="18">
        <v>0.24738050726145799</v>
      </c>
      <c r="AD535" s="18">
        <v>2.6069111437483201</v>
      </c>
      <c r="AE535" s="21">
        <v>-1.89966783538863</v>
      </c>
      <c r="AF535" s="3">
        <v>0.68267999999999995</v>
      </c>
      <c r="AG535" s="3">
        <v>0.365207</v>
      </c>
      <c r="AH535" s="3">
        <v>4.1877300000000002</v>
      </c>
      <c r="AI535" s="3">
        <v>4.3994900000000001</v>
      </c>
      <c r="AJ535" s="3">
        <v>0.125748</v>
      </c>
      <c r="AK535" s="3">
        <v>0.43124299999999999</v>
      </c>
      <c r="AL535" s="3">
        <v>0.60682700000000001</v>
      </c>
      <c r="AM535" s="3">
        <v>0.16497300000000001</v>
      </c>
      <c r="AN535" s="3">
        <v>4.4411899999999997</v>
      </c>
      <c r="AO535" s="3">
        <v>4.4374200000000004</v>
      </c>
      <c r="AP535" s="3">
        <v>8.0960099999999993E-2</v>
      </c>
      <c r="AQ535" s="3">
        <v>1.36388</v>
      </c>
      <c r="AR535" s="3">
        <v>3.3375499999999998</v>
      </c>
      <c r="AS535" s="3">
        <v>0.16880899999999999</v>
      </c>
      <c r="AT535" s="3">
        <v>1.86283</v>
      </c>
      <c r="AU535" s="3">
        <v>13.653600000000001</v>
      </c>
      <c r="AV535" s="3">
        <v>7.3594499999999993E-2</v>
      </c>
      <c r="AW535" s="3">
        <v>1.2674399999999999</v>
      </c>
      <c r="AX535" s="3">
        <v>0</v>
      </c>
      <c r="AY535" s="3">
        <v>9.0821899999999997E-2</v>
      </c>
      <c r="AZ535" s="21">
        <v>1.1045199999999999</v>
      </c>
      <c r="BA535" s="3">
        <v>31.65</v>
      </c>
      <c r="BB535" s="3">
        <v>3</v>
      </c>
    </row>
    <row r="536" spans="1:54" ht="78.75" customHeight="1" x14ac:dyDescent="0.25">
      <c r="A536" s="2">
        <v>534</v>
      </c>
      <c r="B536" s="3">
        <v>13</v>
      </c>
      <c r="C536" s="2">
        <v>2</v>
      </c>
      <c r="D536" s="9">
        <v>81</v>
      </c>
      <c r="E536" s="3" t="s">
        <v>53</v>
      </c>
      <c r="F536" s="3">
        <f t="shared" si="71"/>
        <v>2</v>
      </c>
      <c r="G536" s="12"/>
      <c r="H536" s="3" t="s">
        <v>84</v>
      </c>
      <c r="I536" s="3">
        <f t="shared" si="68"/>
        <v>3</v>
      </c>
      <c r="J536" s="3" t="s">
        <v>88</v>
      </c>
      <c r="K536" s="3">
        <v>4</v>
      </c>
      <c r="L536" s="6" t="s">
        <v>209</v>
      </c>
      <c r="M536" s="3">
        <v>-32</v>
      </c>
      <c r="N536" s="3">
        <f t="shared" si="69"/>
        <v>-0.32</v>
      </c>
      <c r="O536" s="3">
        <v>-44</v>
      </c>
      <c r="P536" s="3">
        <v>-0.44</v>
      </c>
      <c r="Q536" s="17">
        <v>5.8611111111111093E-2</v>
      </c>
      <c r="R536" s="21">
        <v>0.31463198667178938</v>
      </c>
      <c r="S536" s="3">
        <v>5</v>
      </c>
      <c r="T536" s="3">
        <v>127.41</v>
      </c>
      <c r="U536" s="3">
        <v>210.35</v>
      </c>
      <c r="V536" s="26">
        <v>-9.1156074696661704E-2</v>
      </c>
      <c r="W536" s="18">
        <v>0.67643958921413105</v>
      </c>
      <c r="X536" s="18">
        <v>-0.21394755467101001</v>
      </c>
      <c r="Y536" s="18">
        <v>0.58515647730976295</v>
      </c>
      <c r="Z536" s="18">
        <v>-1.0491591229464601</v>
      </c>
      <c r="AA536" s="18">
        <v>-0.88006536550162096</v>
      </c>
      <c r="AB536" s="18">
        <v>-0.997140346433671</v>
      </c>
      <c r="AC536" s="18">
        <v>0.15164681079344899</v>
      </c>
      <c r="AD536" s="18">
        <v>2.3029870971472199</v>
      </c>
      <c r="AE536" s="21">
        <v>-1.14003510410375</v>
      </c>
      <c r="AF536" s="3">
        <v>1.20116</v>
      </c>
      <c r="AG536" s="3">
        <v>8.4566600000000006E-2</v>
      </c>
      <c r="AH536" s="3">
        <v>3.2363900000000001</v>
      </c>
      <c r="AI536" s="3">
        <v>28.248899999999999</v>
      </c>
      <c r="AJ536" s="3">
        <v>8.4067500000000003E-2</v>
      </c>
      <c r="AK536" s="3">
        <v>0.39525700000000002</v>
      </c>
      <c r="AL536" s="3">
        <v>0.49204100000000001</v>
      </c>
      <c r="AM536" s="3">
        <v>8.8403300000000004E-2</v>
      </c>
      <c r="AN536" s="3">
        <v>3.6936100000000001</v>
      </c>
      <c r="AO536" s="3">
        <v>4.4283599999999996</v>
      </c>
      <c r="AP536" s="3">
        <v>0.165907</v>
      </c>
      <c r="AQ536" s="3">
        <v>1.74488</v>
      </c>
      <c r="AR536" s="3">
        <v>2.28654</v>
      </c>
      <c r="AS536" s="3">
        <v>6.9402199999999997E-2</v>
      </c>
      <c r="AT536" s="3">
        <v>1.7166600000000001</v>
      </c>
      <c r="AU536" s="3">
        <v>6.3241699999999996</v>
      </c>
      <c r="AV536" s="3">
        <v>0.314077</v>
      </c>
      <c r="AW536" s="3">
        <v>2.2017500000000001</v>
      </c>
      <c r="AX536" s="3">
        <v>1.3169299999999999</v>
      </c>
      <c r="AY536" s="3">
        <v>0.121362</v>
      </c>
      <c r="AZ536" s="21">
        <v>3.79501</v>
      </c>
      <c r="BA536" s="3">
        <v>82.94</v>
      </c>
      <c r="BB536" s="3">
        <v>4</v>
      </c>
    </row>
    <row r="537" spans="1:54" ht="204.75" customHeight="1" x14ac:dyDescent="0.25">
      <c r="A537" s="2">
        <v>535</v>
      </c>
      <c r="B537" s="3">
        <v>14</v>
      </c>
      <c r="C537" s="2">
        <v>1</v>
      </c>
      <c r="D537" s="9">
        <v>71</v>
      </c>
      <c r="E537" s="3" t="s">
        <v>16</v>
      </c>
      <c r="F537" s="3">
        <f t="shared" si="71"/>
        <v>1</v>
      </c>
      <c r="G537" s="11" t="s">
        <v>17</v>
      </c>
      <c r="H537" s="3" t="s">
        <v>17</v>
      </c>
      <c r="I537" s="3">
        <f t="shared" si="68"/>
        <v>1</v>
      </c>
      <c r="J537" s="3" t="s">
        <v>18</v>
      </c>
      <c r="K537" s="3">
        <v>1</v>
      </c>
      <c r="L537" s="6" t="s">
        <v>274</v>
      </c>
      <c r="M537" s="3">
        <v>100</v>
      </c>
      <c r="N537" s="3">
        <f t="shared" si="69"/>
        <v>1</v>
      </c>
      <c r="O537" s="3">
        <v>82</v>
      </c>
      <c r="P537" s="3">
        <v>0.82</v>
      </c>
      <c r="Q537" s="17">
        <v>9.976851851851852E-2</v>
      </c>
      <c r="R537" s="21">
        <v>0.30678487520229808</v>
      </c>
      <c r="S537" s="3">
        <v>2</v>
      </c>
      <c r="T537" s="3">
        <v>14.43</v>
      </c>
      <c r="U537" s="3">
        <v>156.44</v>
      </c>
      <c r="V537" s="26">
        <v>-0.22267958826717901</v>
      </c>
      <c r="W537" s="18">
        <v>-0.47522399435803098</v>
      </c>
      <c r="X537" s="18">
        <v>-0.70320325028687503</v>
      </c>
      <c r="Y537" s="18">
        <v>-1.2613089575076799</v>
      </c>
      <c r="Z537" s="18">
        <v>0.91684363525269796</v>
      </c>
      <c r="AA537" s="18">
        <v>1.38899724605165</v>
      </c>
      <c r="AB537" s="18">
        <v>-8.9810936638149597E-2</v>
      </c>
      <c r="AC537" s="18">
        <v>-0.77036677840495005</v>
      </c>
      <c r="AD537" s="18">
        <v>0.56170804702829802</v>
      </c>
      <c r="AE537" s="21">
        <v>8.8355840316777901E-2</v>
      </c>
      <c r="AF537" s="3">
        <v>1.59741</v>
      </c>
      <c r="AG537" s="3">
        <v>9.6813800000000005E-2</v>
      </c>
      <c r="AH537" s="3">
        <v>3.7357499999999999</v>
      </c>
      <c r="AI537" s="3">
        <v>49.739400000000003</v>
      </c>
      <c r="AJ537" s="3">
        <v>0.44280599999999998</v>
      </c>
      <c r="AK537" s="3">
        <v>0.31052099999999999</v>
      </c>
      <c r="AL537" s="3">
        <v>1.7664500000000001</v>
      </c>
      <c r="AM537" s="3">
        <v>0.154919</v>
      </c>
      <c r="AN537" s="3">
        <v>5.2050099999999997</v>
      </c>
      <c r="AO537" s="3">
        <v>50.322600000000001</v>
      </c>
      <c r="AP537" s="3">
        <v>0.210484</v>
      </c>
      <c r="AQ537" s="3">
        <v>0.498583</v>
      </c>
      <c r="AR537" s="3">
        <v>4.1329799999999999</v>
      </c>
      <c r="AS537" s="3">
        <v>3.3658599999999997E-2</v>
      </c>
      <c r="AT537" s="3">
        <v>1.0790599999999999</v>
      </c>
      <c r="AU537" s="3">
        <v>18.915299999999998</v>
      </c>
      <c r="AV537" s="3">
        <v>0.21471999999999999</v>
      </c>
      <c r="AW537" s="3">
        <v>0.66379200000000005</v>
      </c>
      <c r="AX537" s="3">
        <v>0</v>
      </c>
      <c r="AY537" s="3">
        <v>2.7147999999999999E-2</v>
      </c>
      <c r="AZ537" s="21">
        <v>-0.56694</v>
      </c>
      <c r="BA537" s="3">
        <v>142.01</v>
      </c>
      <c r="BB537" s="3">
        <v>1</v>
      </c>
    </row>
    <row r="538" spans="1:54" ht="94.5" customHeight="1" x14ac:dyDescent="0.25">
      <c r="A538" s="2">
        <v>536</v>
      </c>
      <c r="B538" s="3">
        <v>14</v>
      </c>
      <c r="C538" s="2">
        <v>1</v>
      </c>
      <c r="D538" s="9">
        <v>71</v>
      </c>
      <c r="E538" s="3" t="s">
        <v>16</v>
      </c>
      <c r="F538" s="3">
        <f t="shared" si="71"/>
        <v>1</v>
      </c>
      <c r="G538" s="12"/>
      <c r="H538" s="3" t="s">
        <v>17</v>
      </c>
      <c r="I538" s="3">
        <f t="shared" si="68"/>
        <v>1</v>
      </c>
      <c r="J538" s="3" t="s">
        <v>19</v>
      </c>
      <c r="K538" s="3">
        <v>2</v>
      </c>
      <c r="L538" s="6" t="s">
        <v>208</v>
      </c>
      <c r="M538" s="3">
        <v>100</v>
      </c>
      <c r="N538" s="3">
        <f t="shared" si="69"/>
        <v>1</v>
      </c>
      <c r="O538" s="3">
        <v>82</v>
      </c>
      <c r="P538" s="3">
        <v>0.82</v>
      </c>
      <c r="Q538" s="17">
        <v>0.35299999999999998</v>
      </c>
      <c r="R538" s="21">
        <v>0.38065473160248248</v>
      </c>
      <c r="S538" s="3">
        <v>4</v>
      </c>
      <c r="T538" s="3">
        <v>163.76</v>
      </c>
      <c r="U538" s="3">
        <v>217.65</v>
      </c>
      <c r="V538" s="26">
        <v>6.5160531341462602E-2</v>
      </c>
      <c r="W538" s="18">
        <v>0.23173624535394399</v>
      </c>
      <c r="X538" s="18">
        <v>0.90893438690156503</v>
      </c>
      <c r="Y538" s="18">
        <v>-1.3912258885767901</v>
      </c>
      <c r="Z538" s="18">
        <v>-1.9338533865916401</v>
      </c>
      <c r="AA538" s="18">
        <v>-1.8467464649444101</v>
      </c>
      <c r="AB538" s="18">
        <v>1.0907533455401499</v>
      </c>
      <c r="AC538" s="18">
        <v>1.1776423733714401</v>
      </c>
      <c r="AD538" s="18">
        <v>-0.78818941659992103</v>
      </c>
      <c r="AE538" s="21">
        <v>1.57550792006719</v>
      </c>
      <c r="AF538" s="3">
        <v>0</v>
      </c>
      <c r="AG538" s="3">
        <v>0.37200299999999997</v>
      </c>
      <c r="AH538" s="3">
        <v>0.125782</v>
      </c>
      <c r="AI538" s="3">
        <v>58.708199999999998</v>
      </c>
      <c r="AJ538" s="3">
        <v>0.31804700000000002</v>
      </c>
      <c r="AK538" s="3">
        <v>8.9563199999999996E-2</v>
      </c>
      <c r="AL538" s="3">
        <v>0.15590200000000001</v>
      </c>
      <c r="AM538" s="3">
        <v>5.36745E-2</v>
      </c>
      <c r="AN538" s="3">
        <v>4.7709000000000001</v>
      </c>
      <c r="AO538" s="3">
        <v>53.452100000000002</v>
      </c>
      <c r="AP538" s="3">
        <v>0.38314599999999999</v>
      </c>
      <c r="AQ538" s="3">
        <v>0.43146000000000001</v>
      </c>
      <c r="AR538" s="3">
        <v>7.0378600000000002</v>
      </c>
      <c r="AS538" s="3">
        <v>7.1676400000000001E-2</v>
      </c>
      <c r="AT538" s="3">
        <v>1.2896099999999999</v>
      </c>
      <c r="AU538" s="3">
        <v>19.688199999999998</v>
      </c>
      <c r="AV538" s="3">
        <v>0.12628200000000001</v>
      </c>
      <c r="AW538" s="3">
        <v>0.51095599999999997</v>
      </c>
      <c r="AX538" s="3">
        <v>0</v>
      </c>
      <c r="AY538" s="3">
        <v>0.15518100000000001</v>
      </c>
      <c r="AZ538" s="21">
        <v>0.32570199999999999</v>
      </c>
      <c r="BA538" s="3">
        <v>53.89</v>
      </c>
      <c r="BB538" s="3">
        <v>2</v>
      </c>
    </row>
    <row r="539" spans="1:54" ht="157.5" customHeight="1" x14ac:dyDescent="0.25">
      <c r="A539" s="2">
        <v>537</v>
      </c>
      <c r="B539" s="3">
        <v>14</v>
      </c>
      <c r="C539" s="2">
        <v>1</v>
      </c>
      <c r="D539" s="9">
        <v>71</v>
      </c>
      <c r="E539" s="3" t="s">
        <v>16</v>
      </c>
      <c r="F539" s="3">
        <f t="shared" si="71"/>
        <v>1</v>
      </c>
      <c r="G539" s="12"/>
      <c r="H539" s="3" t="s">
        <v>17</v>
      </c>
      <c r="I539" s="3">
        <f t="shared" si="68"/>
        <v>1</v>
      </c>
      <c r="J539" s="3" t="s">
        <v>20</v>
      </c>
      <c r="K539" s="3">
        <v>3</v>
      </c>
      <c r="L539" s="6" t="s">
        <v>213</v>
      </c>
      <c r="M539" s="3">
        <v>100</v>
      </c>
      <c r="N539" s="3">
        <f t="shared" si="69"/>
        <v>1</v>
      </c>
      <c r="O539" s="3">
        <v>82</v>
      </c>
      <c r="P539" s="3">
        <v>0.82</v>
      </c>
      <c r="Q539" s="17">
        <v>0.29013398692810449</v>
      </c>
      <c r="R539" s="21">
        <v>0.31482548385580211</v>
      </c>
      <c r="S539" s="3">
        <v>5</v>
      </c>
      <c r="T539" s="3">
        <v>217.65</v>
      </c>
      <c r="U539" s="3">
        <v>317.41000000000003</v>
      </c>
      <c r="V539" s="26">
        <v>-0.87243372929879204</v>
      </c>
      <c r="W539" s="18">
        <v>-0.61701396531057595</v>
      </c>
      <c r="X539" s="18">
        <v>-1.0812483791699501</v>
      </c>
      <c r="Y539" s="18">
        <v>-1.98927279438267E-2</v>
      </c>
      <c r="Z539" s="18">
        <v>-0.169372800123234</v>
      </c>
      <c r="AA539" s="18">
        <v>-0.19540458980963199</v>
      </c>
      <c r="AB539" s="18">
        <v>-2.9110965692989499</v>
      </c>
      <c r="AC539" s="18">
        <v>0.28226900918329501</v>
      </c>
      <c r="AD539" s="18">
        <v>0.14010591340702</v>
      </c>
      <c r="AE539" s="21">
        <v>0.80033953031127403</v>
      </c>
      <c r="AF539" s="3">
        <v>0.22859399999999999</v>
      </c>
      <c r="AG539" s="3">
        <v>3.7638600000000001E-2</v>
      </c>
      <c r="AH539" s="3">
        <v>3.5291899999999998</v>
      </c>
      <c r="AI539" s="3">
        <v>55.921399999999998</v>
      </c>
      <c r="AJ539" s="3">
        <v>0.51328600000000002</v>
      </c>
      <c r="AK539" s="3">
        <v>0.88512800000000003</v>
      </c>
      <c r="AL539" s="3">
        <v>2.0453199999999998</v>
      </c>
      <c r="AM539" s="3">
        <v>0.16409099999999999</v>
      </c>
      <c r="AN539" s="3">
        <v>5.6868800000000004</v>
      </c>
      <c r="AO539" s="3">
        <v>49.424500000000002</v>
      </c>
      <c r="AP539" s="3">
        <v>0.31034800000000001</v>
      </c>
      <c r="AQ539" s="3">
        <v>0.73654200000000003</v>
      </c>
      <c r="AR539" s="3">
        <v>2.0212599999999998</v>
      </c>
      <c r="AS539" s="3">
        <v>9.1523099999999996E-2</v>
      </c>
      <c r="AT539" s="3">
        <v>1.1904399999999999</v>
      </c>
      <c r="AU539" s="3">
        <v>12.8735</v>
      </c>
      <c r="AV539" s="3">
        <v>6.8928299999999998E-2</v>
      </c>
      <c r="AW539" s="3">
        <v>0.36018099999999997</v>
      </c>
      <c r="AX539" s="3">
        <v>0</v>
      </c>
      <c r="AY539" s="3">
        <v>0.114703</v>
      </c>
      <c r="AZ539" s="21">
        <v>0.99958899999999995</v>
      </c>
      <c r="BA539" s="3">
        <v>99.76</v>
      </c>
      <c r="BB539" s="3">
        <v>3</v>
      </c>
    </row>
    <row r="540" spans="1:54" ht="94.5" customHeight="1" x14ac:dyDescent="0.25">
      <c r="A540" s="2">
        <v>538</v>
      </c>
      <c r="B540" s="3">
        <v>14</v>
      </c>
      <c r="C540" s="2">
        <v>1</v>
      </c>
      <c r="D540" s="9">
        <v>71</v>
      </c>
      <c r="E540" s="3" t="s">
        <v>16</v>
      </c>
      <c r="F540" s="3">
        <f t="shared" si="71"/>
        <v>1</v>
      </c>
      <c r="G540" s="12"/>
      <c r="H540" s="3" t="s">
        <v>17</v>
      </c>
      <c r="I540" s="3">
        <f t="shared" si="68"/>
        <v>1</v>
      </c>
      <c r="J540" s="3" t="s">
        <v>21</v>
      </c>
      <c r="K540" s="3">
        <v>4</v>
      </c>
      <c r="L540" s="6" t="s">
        <v>275</v>
      </c>
      <c r="M540" s="3">
        <v>100</v>
      </c>
      <c r="N540" s="3">
        <f t="shared" si="69"/>
        <v>1</v>
      </c>
      <c r="O540" s="3">
        <v>82</v>
      </c>
      <c r="P540" s="3">
        <v>0.82</v>
      </c>
      <c r="Q540" s="17">
        <v>0.1108333333333333</v>
      </c>
      <c r="R540" s="21">
        <v>0.38050587672494912</v>
      </c>
      <c r="S540" s="3">
        <v>6</v>
      </c>
      <c r="T540" s="3">
        <v>317.41000000000003</v>
      </c>
      <c r="U540" s="3">
        <v>390.85</v>
      </c>
      <c r="V540" s="26">
        <v>-0.33030292060396099</v>
      </c>
      <c r="W540" s="18">
        <v>7.1593978195603494E-2</v>
      </c>
      <c r="X540" s="18">
        <v>0.225196396637067</v>
      </c>
      <c r="Y540" s="18">
        <v>0.51935604098146504</v>
      </c>
      <c r="Z540" s="18">
        <v>1.61034595530744</v>
      </c>
      <c r="AA540" s="18">
        <v>1.41768583431172</v>
      </c>
      <c r="AB540" s="18">
        <v>-0.28485456675790999</v>
      </c>
      <c r="AC540" s="18">
        <v>-2.58594441573916</v>
      </c>
      <c r="AD540" s="18">
        <v>-0.53516391675714403</v>
      </c>
      <c r="AE540" s="21">
        <v>1.31198148935494</v>
      </c>
      <c r="AF540" s="3">
        <v>0.13075500000000001</v>
      </c>
      <c r="AG540" s="3">
        <v>0.10861999999999999</v>
      </c>
      <c r="AH540" s="3">
        <v>3.9919600000000002</v>
      </c>
      <c r="AI540" s="3">
        <v>58.153100000000002</v>
      </c>
      <c r="AJ540" s="3">
        <v>0.38090200000000002</v>
      </c>
      <c r="AK540" s="3">
        <v>0.41599399999999997</v>
      </c>
      <c r="AL540" s="3">
        <v>0.96431500000000003</v>
      </c>
      <c r="AM540" s="3">
        <v>0.107312</v>
      </c>
      <c r="AN540" s="3">
        <v>4.9626700000000001</v>
      </c>
      <c r="AO540" s="3">
        <v>52.285499999999999</v>
      </c>
      <c r="AP540" s="3">
        <v>0.58548800000000001</v>
      </c>
      <c r="AQ540" s="3">
        <v>1.41669</v>
      </c>
      <c r="AR540" s="3">
        <v>18.011399999999998</v>
      </c>
      <c r="AS540" s="3">
        <v>0.109094</v>
      </c>
      <c r="AT540" s="3">
        <v>1.2524200000000001</v>
      </c>
      <c r="AU540" s="3">
        <v>30.841699999999999</v>
      </c>
      <c r="AV540" s="3">
        <v>0.29166599999999998</v>
      </c>
      <c r="AW540" s="3">
        <v>1.1089199999999999</v>
      </c>
      <c r="AX540" s="3">
        <v>0.424952</v>
      </c>
      <c r="AY540" s="3">
        <v>0.183424</v>
      </c>
      <c r="AZ540" s="21">
        <v>6.3788499999999999</v>
      </c>
      <c r="BA540" s="3">
        <v>73.44</v>
      </c>
      <c r="BB540" s="3">
        <v>4</v>
      </c>
    </row>
    <row r="541" spans="1:54" ht="78.75" customHeight="1" x14ac:dyDescent="0.25">
      <c r="A541" s="2">
        <v>539</v>
      </c>
      <c r="B541" s="3">
        <v>14</v>
      </c>
      <c r="C541" s="2">
        <v>1</v>
      </c>
      <c r="D541" s="9">
        <v>71</v>
      </c>
      <c r="E541" s="3" t="s">
        <v>16</v>
      </c>
      <c r="F541" s="3">
        <f>IF(E542="Happy", 1,2)</f>
        <v>1</v>
      </c>
      <c r="G541" s="12"/>
      <c r="H541" s="3" t="s">
        <v>17</v>
      </c>
      <c r="I541" s="3">
        <f t="shared" si="68"/>
        <v>1</v>
      </c>
      <c r="J541" s="3" t="s">
        <v>22</v>
      </c>
      <c r="K541" s="3">
        <v>5</v>
      </c>
      <c r="L541" s="6" t="s">
        <v>276</v>
      </c>
      <c r="M541" s="3">
        <v>100</v>
      </c>
      <c r="N541" s="3">
        <f t="shared" si="69"/>
        <v>1</v>
      </c>
      <c r="O541" s="3">
        <v>82</v>
      </c>
      <c r="P541" s="3">
        <v>0.82</v>
      </c>
      <c r="Q541" s="17">
        <v>0.15291666666666659</v>
      </c>
      <c r="R541" s="21">
        <v>0.40651081371430531</v>
      </c>
      <c r="S541" s="3">
        <v>7</v>
      </c>
      <c r="T541" s="3">
        <v>390.85</v>
      </c>
      <c r="U541" s="3">
        <v>424.87</v>
      </c>
      <c r="V541" s="26">
        <v>3.0207732927773399</v>
      </c>
      <c r="W541" s="18">
        <v>2.9337204619753701</v>
      </c>
      <c r="X541" s="18">
        <v>1.79723346060994</v>
      </c>
      <c r="Y541" s="18">
        <v>2.0413972418893498</v>
      </c>
      <c r="Z541" s="18">
        <v>0.63493750945064698</v>
      </c>
      <c r="AA541" s="18">
        <v>0.152303156432048</v>
      </c>
      <c r="AB541" s="18">
        <v>-0.19552356031198401</v>
      </c>
      <c r="AC541" s="18">
        <v>-0.733363855251987</v>
      </c>
      <c r="AD541" s="18">
        <v>-1.8044656945217401</v>
      </c>
      <c r="AE541" s="21">
        <v>1.29194731625985</v>
      </c>
      <c r="AF541" s="3">
        <v>0</v>
      </c>
      <c r="AG541" s="3">
        <v>0.22153100000000001</v>
      </c>
      <c r="AH541" s="3">
        <v>-0.424151</v>
      </c>
      <c r="AI541" s="3">
        <v>41.6434</v>
      </c>
      <c r="AJ541" s="3">
        <v>0.24393799999999999</v>
      </c>
      <c r="AK541" s="3">
        <v>-0.28737499999999999</v>
      </c>
      <c r="AL541" s="3">
        <v>0</v>
      </c>
      <c r="AM541" s="3">
        <v>3.9971399999999997E-2</v>
      </c>
      <c r="AN541" s="3">
        <v>-0.31728600000000001</v>
      </c>
      <c r="AO541" s="3">
        <v>44.646900000000002</v>
      </c>
      <c r="AP541" s="3">
        <v>0.103865</v>
      </c>
      <c r="AQ541" s="3">
        <v>-0.27193000000000001</v>
      </c>
      <c r="AR541" s="3">
        <v>5.0125700000000002</v>
      </c>
      <c r="AS541" s="3">
        <v>0.27306200000000003</v>
      </c>
      <c r="AT541" s="3">
        <v>2.0125799999999998</v>
      </c>
      <c r="AU541" s="3">
        <v>37.769100000000002</v>
      </c>
      <c r="AV541" s="3">
        <v>9.6060699999999999E-2</v>
      </c>
      <c r="AW541" s="3">
        <v>0.30813299999999999</v>
      </c>
      <c r="AX541" s="3">
        <v>0</v>
      </c>
      <c r="AY541" s="3">
        <v>0.29188900000000001</v>
      </c>
      <c r="AZ541" s="21">
        <v>1.65754</v>
      </c>
      <c r="BA541" s="3">
        <v>175.03</v>
      </c>
      <c r="BB541" s="3">
        <v>5</v>
      </c>
    </row>
    <row r="542" spans="1:54" ht="409.5" customHeight="1" x14ac:dyDescent="0.25">
      <c r="A542" s="2">
        <v>540</v>
      </c>
      <c r="B542" s="3">
        <v>14</v>
      </c>
      <c r="C542" s="2">
        <v>1</v>
      </c>
      <c r="D542" s="9">
        <v>71</v>
      </c>
      <c r="E542" s="3" t="s">
        <v>16</v>
      </c>
      <c r="F542" s="3">
        <f>IF(E543="Happy", 1,2)</f>
        <v>1</v>
      </c>
      <c r="G542" s="3" t="s">
        <v>26</v>
      </c>
      <c r="H542" s="3" t="s">
        <v>26</v>
      </c>
      <c r="I542" s="3">
        <f t="shared" si="68"/>
        <v>2</v>
      </c>
      <c r="J542" s="3" t="s">
        <v>27</v>
      </c>
      <c r="K542" s="3">
        <v>1</v>
      </c>
      <c r="L542" s="6" t="s">
        <v>277</v>
      </c>
      <c r="M542" s="3">
        <v>100</v>
      </c>
      <c r="N542" s="3">
        <f t="shared" si="69"/>
        <v>1</v>
      </c>
      <c r="O542" s="3">
        <v>100</v>
      </c>
      <c r="P542" s="3">
        <v>1</v>
      </c>
      <c r="Q542" s="17">
        <v>0.24668011837503359</v>
      </c>
      <c r="R542" s="21">
        <v>0.31869776658448079</v>
      </c>
      <c r="S542" s="3">
        <v>2</v>
      </c>
      <c r="T542" s="3">
        <v>24.63</v>
      </c>
      <c r="U542" s="3">
        <v>451.63</v>
      </c>
      <c r="V542" s="26">
        <v>5.2028010019501802E-2</v>
      </c>
      <c r="W542" s="18">
        <v>6.5614260829970794E-2</v>
      </c>
      <c r="X542" s="18">
        <v>0.84433778534015402</v>
      </c>
      <c r="Y542" s="18">
        <v>0.30165442659893799</v>
      </c>
      <c r="Z542" s="18">
        <v>0.65895418879336298</v>
      </c>
      <c r="AA542" s="18">
        <v>0.66036880013458799</v>
      </c>
      <c r="AB542" s="18">
        <v>0.57876381647577901</v>
      </c>
      <c r="AC542" s="18">
        <v>0.20534187947055499</v>
      </c>
      <c r="AD542" s="18">
        <v>1.2016570586864901</v>
      </c>
      <c r="AE542" s="21">
        <v>-1.1475985306260501</v>
      </c>
      <c r="AF542" s="3">
        <v>0.42718600000000001</v>
      </c>
      <c r="AG542" s="3">
        <v>0.159994</v>
      </c>
      <c r="AH542" s="3">
        <v>4.2565799999999996</v>
      </c>
      <c r="AI542" s="3">
        <v>55.663499999999999</v>
      </c>
      <c r="AJ542" s="3">
        <v>0.30898599999999998</v>
      </c>
      <c r="AK542" s="3">
        <v>0.58977199999999996</v>
      </c>
      <c r="AL542" s="3">
        <v>2.2343000000000002</v>
      </c>
      <c r="AM542" s="3">
        <v>0.17180599999999999</v>
      </c>
      <c r="AN542" s="3">
        <v>4.5613599999999996</v>
      </c>
      <c r="AO542" s="3">
        <v>46.948300000000003</v>
      </c>
      <c r="AP542" s="3">
        <v>0.55460399999999999</v>
      </c>
      <c r="AQ542" s="3">
        <v>1.52945</v>
      </c>
      <c r="AR542" s="3">
        <v>4.1425799999999997</v>
      </c>
      <c r="AS542" s="3">
        <v>0.29027199999999997</v>
      </c>
      <c r="AT542" s="3">
        <v>2.73672</v>
      </c>
      <c r="AU542" s="3">
        <v>26.668199999999999</v>
      </c>
      <c r="AV542" s="3">
        <v>0.42558299999999999</v>
      </c>
      <c r="AW542" s="3">
        <v>1.4028400000000001</v>
      </c>
      <c r="AX542" s="3">
        <v>8.7123500000000006E-2</v>
      </c>
      <c r="AY542" s="3">
        <v>0.181033</v>
      </c>
      <c r="AZ542" s="21">
        <v>5.8051599999999999</v>
      </c>
      <c r="BA542" s="3">
        <v>427</v>
      </c>
      <c r="BB542" s="3">
        <v>1</v>
      </c>
    </row>
    <row r="543" spans="1:54" ht="252" customHeight="1" x14ac:dyDescent="0.25">
      <c r="A543" s="2">
        <v>541</v>
      </c>
      <c r="B543" s="3">
        <v>14</v>
      </c>
      <c r="C543" s="2">
        <v>1</v>
      </c>
      <c r="D543" s="9">
        <v>71</v>
      </c>
      <c r="E543" s="3" t="s">
        <v>16</v>
      </c>
      <c r="F543" s="3">
        <f t="shared" ref="F543:F550" si="72">IF(E543="Happy", 1,2)</f>
        <v>1</v>
      </c>
      <c r="G543" s="11" t="s">
        <v>38</v>
      </c>
      <c r="H543" s="3" t="s">
        <v>38</v>
      </c>
      <c r="I543" s="3">
        <f t="shared" si="68"/>
        <v>3</v>
      </c>
      <c r="J543" s="3" t="s">
        <v>39</v>
      </c>
      <c r="K543" s="3">
        <v>1</v>
      </c>
      <c r="L543" s="6" t="s">
        <v>251</v>
      </c>
      <c r="M543" s="3">
        <v>100</v>
      </c>
      <c r="N543" s="3">
        <f t="shared" si="69"/>
        <v>1</v>
      </c>
      <c r="O543" s="3">
        <v>100</v>
      </c>
      <c r="P543" s="3">
        <v>1</v>
      </c>
      <c r="Q543" s="17">
        <v>0.1031051587301587</v>
      </c>
      <c r="R543" s="21">
        <v>0.20466066835123339</v>
      </c>
      <c r="S543" s="3">
        <v>2</v>
      </c>
      <c r="T543" s="3">
        <v>38.33</v>
      </c>
      <c r="U543" s="3">
        <v>154.4</v>
      </c>
      <c r="V543" s="26">
        <v>-0.81998466349190602</v>
      </c>
      <c r="W543" s="18">
        <v>-0.85394667565703397</v>
      </c>
      <c r="X543" s="18">
        <v>-1.2662183362864901</v>
      </c>
      <c r="Y543" s="18">
        <v>-0.887729027015982</v>
      </c>
      <c r="Z543" s="18">
        <v>-1.07703764700644</v>
      </c>
      <c r="AA543" s="18">
        <v>-1.11873497791467</v>
      </c>
      <c r="AB543" s="18">
        <v>0.14708260624352801</v>
      </c>
      <c r="AC543" s="18">
        <v>0.77304462152786002</v>
      </c>
      <c r="AD543" s="18">
        <v>-0.66649314192934594</v>
      </c>
      <c r="AE543" s="21">
        <v>-0.159759688014638</v>
      </c>
      <c r="AF543" s="3">
        <v>1.4787999999999999</v>
      </c>
      <c r="AG543" s="3">
        <v>6.9793300000000003E-2</v>
      </c>
      <c r="AH543" s="3">
        <v>3.9366500000000002</v>
      </c>
      <c r="AI543" s="3">
        <v>52.088900000000002</v>
      </c>
      <c r="AJ543" s="3">
        <v>0.342136</v>
      </c>
      <c r="AK543" s="3">
        <v>0.64074600000000004</v>
      </c>
      <c r="AL543" s="3">
        <v>0</v>
      </c>
      <c r="AM543" s="3">
        <v>0.15274599999999999</v>
      </c>
      <c r="AN543" s="3">
        <v>-0.25057699999999999</v>
      </c>
      <c r="AO543" s="3">
        <v>50.6205</v>
      </c>
      <c r="AP543" s="3">
        <v>0.29448299999999999</v>
      </c>
      <c r="AQ543" s="3">
        <v>0.13353499999999999</v>
      </c>
      <c r="AR543" s="3">
        <v>1.80972</v>
      </c>
      <c r="AS543" s="3">
        <v>0.47566999999999998</v>
      </c>
      <c r="AT543" s="3">
        <v>2.3526199999999999</v>
      </c>
      <c r="AU543" s="3">
        <v>13.3919</v>
      </c>
      <c r="AV543" s="3">
        <v>0.17843800000000001</v>
      </c>
      <c r="AW543" s="3">
        <v>0.453679</v>
      </c>
      <c r="AX543" s="3">
        <v>0.14477799999999999</v>
      </c>
      <c r="AY543" s="3">
        <v>2.77424E-2</v>
      </c>
      <c r="AZ543" s="21">
        <v>4.8547799999999999</v>
      </c>
      <c r="BA543" s="3">
        <v>116.07</v>
      </c>
      <c r="BB543" s="3">
        <v>1</v>
      </c>
    </row>
    <row r="544" spans="1:54" ht="409.5" customHeight="1" x14ac:dyDescent="0.25">
      <c r="A544" s="2">
        <v>542</v>
      </c>
      <c r="B544" s="3">
        <v>14</v>
      </c>
      <c r="C544" s="2">
        <v>1</v>
      </c>
      <c r="D544" s="9">
        <v>71</v>
      </c>
      <c r="E544" s="3" t="s">
        <v>16</v>
      </c>
      <c r="F544" s="3">
        <f t="shared" si="72"/>
        <v>1</v>
      </c>
      <c r="G544" s="12"/>
      <c r="H544" s="3" t="s">
        <v>38</v>
      </c>
      <c r="I544" s="3">
        <f t="shared" si="68"/>
        <v>3</v>
      </c>
      <c r="J544" s="3" t="s">
        <v>40</v>
      </c>
      <c r="K544" s="3">
        <v>2</v>
      </c>
      <c r="L544" s="6" t="s">
        <v>278</v>
      </c>
      <c r="M544" s="3">
        <v>100</v>
      </c>
      <c r="N544" s="3">
        <f t="shared" si="69"/>
        <v>1</v>
      </c>
      <c r="O544" s="3">
        <v>100</v>
      </c>
      <c r="P544" s="3">
        <v>1</v>
      </c>
      <c r="Q544" s="17">
        <v>5.1745260141093471E-2</v>
      </c>
      <c r="R544" s="21">
        <v>0.36114964097869651</v>
      </c>
      <c r="S544" s="3">
        <v>3</v>
      </c>
      <c r="T544" s="3">
        <v>154.4</v>
      </c>
      <c r="U544" s="3">
        <v>472.46</v>
      </c>
      <c r="V544" s="26">
        <v>7.3174094548581495E-2</v>
      </c>
      <c r="W544" s="18">
        <v>-8.77654895985093E-2</v>
      </c>
      <c r="X544" s="18">
        <v>0.49268056325173099</v>
      </c>
      <c r="Y544" s="18">
        <v>0.29868426814096799</v>
      </c>
      <c r="Z544" s="18">
        <v>0.330671027019177</v>
      </c>
      <c r="AA544" s="18">
        <v>3.8011522557249801E-2</v>
      </c>
      <c r="AB544" s="18">
        <v>0.22924665515224599</v>
      </c>
      <c r="AC544" s="18">
        <v>0.70342070033215298</v>
      </c>
      <c r="AD544" s="18">
        <v>-1.0774990299988301</v>
      </c>
      <c r="AE544" s="21">
        <v>-0.36472468967971999</v>
      </c>
      <c r="AF544" s="3">
        <v>0.32448700000000003</v>
      </c>
      <c r="AG544" s="3">
        <v>0.26549699999999998</v>
      </c>
      <c r="AH544" s="3">
        <v>5.0955000000000004</v>
      </c>
      <c r="AI544" s="3">
        <v>56.396700000000003</v>
      </c>
      <c r="AJ544" s="3">
        <v>0.26939999999999997</v>
      </c>
      <c r="AK544" s="3">
        <v>0.561724</v>
      </c>
      <c r="AL544" s="3">
        <v>0.80367200000000005</v>
      </c>
      <c r="AM544" s="3">
        <v>0.103949</v>
      </c>
      <c r="AN544" s="3">
        <v>5.6069199999999997</v>
      </c>
      <c r="AO544" s="3">
        <v>49.937100000000001</v>
      </c>
      <c r="AP544" s="3">
        <v>0.26715699999999998</v>
      </c>
      <c r="AQ544" s="3">
        <v>0.58652099999999996</v>
      </c>
      <c r="AR544" s="3">
        <v>8.5385500000000008</v>
      </c>
      <c r="AS544" s="3">
        <v>0.12829599999999999</v>
      </c>
      <c r="AT544" s="3">
        <v>1.67065</v>
      </c>
      <c r="AU544" s="3">
        <v>20.82</v>
      </c>
      <c r="AV544" s="3">
        <v>6.8117499999999997E-2</v>
      </c>
      <c r="AW544" s="3">
        <v>0.293541</v>
      </c>
      <c r="AX544" s="3">
        <v>0</v>
      </c>
      <c r="AY544" s="3">
        <v>3.4880700000000001E-2</v>
      </c>
      <c r="AZ544" s="21">
        <v>-0.556867</v>
      </c>
      <c r="BA544" s="3">
        <v>318.06</v>
      </c>
      <c r="BB544" s="3">
        <v>2</v>
      </c>
    </row>
    <row r="545" spans="1:54" ht="409.5" customHeight="1" x14ac:dyDescent="0.25">
      <c r="A545" s="2">
        <v>543</v>
      </c>
      <c r="B545" s="3">
        <v>14</v>
      </c>
      <c r="C545" s="2">
        <v>1</v>
      </c>
      <c r="D545" s="9">
        <v>71</v>
      </c>
      <c r="E545" s="3" t="s">
        <v>53</v>
      </c>
      <c r="F545" s="3">
        <f t="shared" si="72"/>
        <v>2</v>
      </c>
      <c r="G545" s="3" t="s">
        <v>54</v>
      </c>
      <c r="H545" s="3" t="s">
        <v>54</v>
      </c>
      <c r="I545" s="3">
        <f t="shared" si="68"/>
        <v>1</v>
      </c>
      <c r="J545" s="3" t="s">
        <v>55</v>
      </c>
      <c r="K545" s="3">
        <v>1</v>
      </c>
      <c r="L545" s="6" t="s">
        <v>279</v>
      </c>
      <c r="M545" s="3">
        <v>-73</v>
      </c>
      <c r="N545" s="3">
        <f t="shared" si="69"/>
        <v>-0.73</v>
      </c>
      <c r="O545" s="3">
        <v>51</v>
      </c>
      <c r="P545" s="3">
        <v>0.51</v>
      </c>
      <c r="Q545" s="17">
        <v>0.1420839598997494</v>
      </c>
      <c r="R545" s="21">
        <v>0.34924694915419202</v>
      </c>
      <c r="S545" s="3">
        <v>2</v>
      </c>
      <c r="T545" s="3">
        <v>63.08</v>
      </c>
      <c r="U545" s="3">
        <v>531.54</v>
      </c>
      <c r="V545" s="26">
        <v>-0.27778020072347898</v>
      </c>
      <c r="W545" s="18">
        <v>-0.77720515742918095</v>
      </c>
      <c r="X545" s="18">
        <v>-1.00165139100256</v>
      </c>
      <c r="Y545" s="18">
        <v>1.19578212831758</v>
      </c>
      <c r="Z545" s="18">
        <v>0.139200121362793</v>
      </c>
      <c r="AA545" s="18">
        <v>0.46756914784916698</v>
      </c>
      <c r="AB545" s="18">
        <v>0.53960151279031598</v>
      </c>
      <c r="AC545" s="18">
        <v>0.46874426665151803</v>
      </c>
      <c r="AD545" s="18">
        <v>6.0794620943611197E-2</v>
      </c>
      <c r="AE545" s="21">
        <v>-0.55736096944013602</v>
      </c>
      <c r="AF545" s="3">
        <v>2.3003999999999998</v>
      </c>
      <c r="AG545" s="3">
        <v>0.29413699999999998</v>
      </c>
      <c r="AH545" s="3">
        <v>3.8011699999999999</v>
      </c>
      <c r="AI545" s="3">
        <v>56.846600000000002</v>
      </c>
      <c r="AJ545" s="3">
        <v>0.146729</v>
      </c>
      <c r="AK545" s="3">
        <v>-0.23130899999999999</v>
      </c>
      <c r="AL545" s="3">
        <v>0.29971799999999998</v>
      </c>
      <c r="AM545" s="3">
        <v>0.103426</v>
      </c>
      <c r="AN545" s="3">
        <v>7.4025800000000004</v>
      </c>
      <c r="AO545" s="3">
        <v>44.965400000000002</v>
      </c>
      <c r="AP545" s="3">
        <v>0.15742999999999999</v>
      </c>
      <c r="AQ545" s="3">
        <v>0.21642400000000001</v>
      </c>
      <c r="AR545" s="3">
        <v>2.2978399999999999</v>
      </c>
      <c r="AS545" s="3">
        <v>4.6395699999999998E-2</v>
      </c>
      <c r="AT545" s="3">
        <v>2.0512700000000001</v>
      </c>
      <c r="AU545" s="3">
        <v>15.6929</v>
      </c>
      <c r="AV545" s="3">
        <v>0.15639</v>
      </c>
      <c r="AW545" s="3">
        <v>0.53785300000000003</v>
      </c>
      <c r="AX545" s="3">
        <v>3.3301999999999998E-2</v>
      </c>
      <c r="AY545" s="3">
        <v>0.13328200000000001</v>
      </c>
      <c r="AZ545" s="21">
        <v>7.5081800000000003</v>
      </c>
      <c r="BA545" s="3">
        <v>468.46</v>
      </c>
      <c r="BB545" s="3">
        <v>1</v>
      </c>
    </row>
    <row r="546" spans="1:54" ht="378" customHeight="1" x14ac:dyDescent="0.25">
      <c r="A546" s="2">
        <v>544</v>
      </c>
      <c r="B546" s="3">
        <v>14</v>
      </c>
      <c r="C546" s="2">
        <v>1</v>
      </c>
      <c r="D546" s="9">
        <v>71</v>
      </c>
      <c r="E546" s="3" t="s">
        <v>53</v>
      </c>
      <c r="F546" s="3">
        <f t="shared" si="72"/>
        <v>2</v>
      </c>
      <c r="G546" s="11" t="s">
        <v>76</v>
      </c>
      <c r="H546" s="3" t="s">
        <v>76</v>
      </c>
      <c r="I546" s="3">
        <f t="shared" si="68"/>
        <v>2</v>
      </c>
      <c r="J546" s="3" t="s">
        <v>77</v>
      </c>
      <c r="K546" s="3">
        <v>1</v>
      </c>
      <c r="L546" s="6" t="s">
        <v>202</v>
      </c>
      <c r="M546" s="3">
        <v>-94</v>
      </c>
      <c r="N546" s="3">
        <f t="shared" si="69"/>
        <v>-0.94</v>
      </c>
      <c r="O546" s="3">
        <v>64</v>
      </c>
      <c r="P546" s="3">
        <v>0.64</v>
      </c>
      <c r="Q546" s="17">
        <v>1.2327140452140469E-3</v>
      </c>
      <c r="R546" s="21">
        <v>0.31108770122154128</v>
      </c>
      <c r="S546" s="3">
        <v>2</v>
      </c>
      <c r="T546" s="3">
        <v>37.32</v>
      </c>
      <c r="U546" s="3">
        <v>260.01</v>
      </c>
      <c r="V546" s="26">
        <v>-0.27808218242521798</v>
      </c>
      <c r="W546" s="18">
        <v>-0.22960982161801399</v>
      </c>
      <c r="X546" s="18">
        <v>-0.59804691522943199</v>
      </c>
      <c r="Y546" s="18">
        <v>-0.136718960624094</v>
      </c>
      <c r="Z546" s="18">
        <v>0.19700578405663399</v>
      </c>
      <c r="AA546" s="18">
        <v>0.49980524971129098</v>
      </c>
      <c r="AB546" s="18">
        <v>0.14349912747492299</v>
      </c>
      <c r="AC546" s="18">
        <v>0.54275011295744202</v>
      </c>
      <c r="AD546" s="18">
        <v>1.08734604606716</v>
      </c>
      <c r="AE546" s="21">
        <v>-0.95958552157988297</v>
      </c>
      <c r="AF546" s="3">
        <v>1.2663899999999999</v>
      </c>
      <c r="AG546" s="3">
        <v>0.145008</v>
      </c>
      <c r="AH546" s="3">
        <v>3.7694700000000001</v>
      </c>
      <c r="AI546" s="3">
        <v>55.0045</v>
      </c>
      <c r="AJ546" s="3">
        <v>0.234821</v>
      </c>
      <c r="AK546" s="3">
        <v>0.690438</v>
      </c>
      <c r="AL546" s="3">
        <v>0.88377899999999998</v>
      </c>
      <c r="AM546" s="3">
        <v>0.186226</v>
      </c>
      <c r="AN546" s="3">
        <v>6.1107399999999998</v>
      </c>
      <c r="AO546" s="3">
        <v>38.6815</v>
      </c>
      <c r="AP546" s="3">
        <v>0.17177799999999999</v>
      </c>
      <c r="AQ546" s="3">
        <v>0.34873700000000002</v>
      </c>
      <c r="AR546" s="3">
        <v>0.77600100000000005</v>
      </c>
      <c r="AS546" s="3">
        <v>2.7570899999999999E-2</v>
      </c>
      <c r="AT546" s="3">
        <v>1.7089700000000001</v>
      </c>
      <c r="AU546" s="3">
        <v>25.974499999999999</v>
      </c>
      <c r="AV546" s="3">
        <v>5.6500500000000002E-2</v>
      </c>
      <c r="AW546" s="3">
        <v>0.100559</v>
      </c>
      <c r="AX546" s="3">
        <v>0</v>
      </c>
      <c r="AY546" s="3">
        <v>0.157911</v>
      </c>
      <c r="AZ546" s="21">
        <v>0.41775899999999999</v>
      </c>
      <c r="BA546" s="3">
        <v>222.69</v>
      </c>
      <c r="BB546" s="3">
        <v>1</v>
      </c>
    </row>
    <row r="547" spans="1:54" ht="173.25" customHeight="1" x14ac:dyDescent="0.25">
      <c r="A547" s="2">
        <v>545</v>
      </c>
      <c r="B547" s="3">
        <v>14</v>
      </c>
      <c r="C547" s="2">
        <v>1</v>
      </c>
      <c r="D547" s="9">
        <v>71</v>
      </c>
      <c r="E547" s="3" t="s">
        <v>53</v>
      </c>
      <c r="F547" s="3">
        <f t="shared" si="72"/>
        <v>2</v>
      </c>
      <c r="G547" s="12"/>
      <c r="H547" s="3" t="s">
        <v>76</v>
      </c>
      <c r="I547" s="3">
        <f t="shared" si="68"/>
        <v>2</v>
      </c>
      <c r="J547" s="3" t="s">
        <v>78</v>
      </c>
      <c r="K547" s="3">
        <v>2</v>
      </c>
      <c r="L547" s="6" t="s">
        <v>185</v>
      </c>
      <c r="M547" s="3">
        <v>-94</v>
      </c>
      <c r="N547" s="3">
        <f t="shared" si="69"/>
        <v>-0.94</v>
      </c>
      <c r="O547" s="3">
        <v>64</v>
      </c>
      <c r="P547" s="3">
        <v>0.64</v>
      </c>
      <c r="Q547" s="17">
        <v>0.18</v>
      </c>
      <c r="R547" s="21">
        <v>0.14312831406019669</v>
      </c>
      <c r="S547" s="3">
        <v>3</v>
      </c>
      <c r="T547" s="3">
        <v>260.01</v>
      </c>
      <c r="U547" s="3">
        <v>345.07</v>
      </c>
      <c r="V547" s="26">
        <v>-0.33128988519013097</v>
      </c>
      <c r="W547" s="18">
        <v>-0.51540769505508299</v>
      </c>
      <c r="X547" s="18">
        <v>-0.59533165537543997</v>
      </c>
      <c r="Y547" s="18">
        <v>0.11805463154869</v>
      </c>
      <c r="Z547" s="18">
        <v>-1.2774526953145999</v>
      </c>
      <c r="AA547" s="18">
        <v>-1.1562152303189499</v>
      </c>
      <c r="AB547" s="18">
        <v>0.69586678337839103</v>
      </c>
      <c r="AC547" s="18">
        <v>0.14740309190209799</v>
      </c>
      <c r="AD547" s="18">
        <v>0.35813169309387999</v>
      </c>
      <c r="AE547" s="21">
        <v>-0.88253100967571696</v>
      </c>
      <c r="AF547" s="3">
        <v>0.155221</v>
      </c>
      <c r="AG547" s="3">
        <v>2.8793900000000001E-2</v>
      </c>
      <c r="AH547" s="3">
        <v>3.2806700000000002</v>
      </c>
      <c r="AI547" s="3">
        <v>58.588900000000002</v>
      </c>
      <c r="AJ547" s="3">
        <v>0.21806200000000001</v>
      </c>
      <c r="AK547" s="3">
        <v>0.63015100000000002</v>
      </c>
      <c r="AL547" s="3">
        <v>1.3828800000000001</v>
      </c>
      <c r="AM547" s="3">
        <v>8.1833199999999995E-2</v>
      </c>
      <c r="AN547" s="3">
        <v>5.5316200000000002</v>
      </c>
      <c r="AO547" s="3">
        <v>47.187199999999997</v>
      </c>
      <c r="AP547" s="3">
        <v>0.46854899999999999</v>
      </c>
      <c r="AQ547" s="3">
        <v>0.73656900000000003</v>
      </c>
      <c r="AR547" s="3">
        <v>1.1994400000000001</v>
      </c>
      <c r="AS547" s="3">
        <v>5.2620699999999999E-2</v>
      </c>
      <c r="AT547" s="3">
        <v>1.75282</v>
      </c>
      <c r="AU547" s="3">
        <v>15.9595</v>
      </c>
      <c r="AV547" s="3">
        <v>0.15468499999999999</v>
      </c>
      <c r="AW547" s="3">
        <v>0.30862299999999998</v>
      </c>
      <c r="AX547" s="3">
        <v>0</v>
      </c>
      <c r="AY547" s="3">
        <v>0</v>
      </c>
      <c r="AZ547" s="21">
        <v>-0.67765799999999998</v>
      </c>
      <c r="BA547" s="3">
        <v>85.06</v>
      </c>
      <c r="BB547" s="3">
        <v>2</v>
      </c>
    </row>
    <row r="548" spans="1:54" ht="409.5" customHeight="1" x14ac:dyDescent="0.25">
      <c r="A548" s="2">
        <v>546</v>
      </c>
      <c r="B548" s="3">
        <v>14</v>
      </c>
      <c r="C548" s="2">
        <v>1</v>
      </c>
      <c r="D548" s="9">
        <v>71</v>
      </c>
      <c r="E548" s="3" t="s">
        <v>53</v>
      </c>
      <c r="F548" s="3">
        <f t="shared" si="72"/>
        <v>2</v>
      </c>
      <c r="G548" s="3" t="s">
        <v>84</v>
      </c>
      <c r="H548" s="3" t="s">
        <v>84</v>
      </c>
      <c r="I548" s="3">
        <f t="shared" si="68"/>
        <v>3</v>
      </c>
      <c r="J548" s="3" t="s">
        <v>85</v>
      </c>
      <c r="K548" s="3">
        <v>1</v>
      </c>
      <c r="L548" s="6" t="s">
        <v>280</v>
      </c>
      <c r="M548" s="3">
        <v>-100</v>
      </c>
      <c r="N548" s="3">
        <f t="shared" si="69"/>
        <v>-1</v>
      </c>
      <c r="O548" s="3">
        <v>1</v>
      </c>
      <c r="P548" s="3">
        <v>0.01</v>
      </c>
      <c r="Q548" s="17">
        <v>4.9843749999999999E-2</v>
      </c>
      <c r="R548" s="21">
        <v>0.28201237787048128</v>
      </c>
      <c r="S548" s="3">
        <v>2</v>
      </c>
      <c r="T548" s="3">
        <v>25.66</v>
      </c>
      <c r="U548" s="3">
        <v>397.88</v>
      </c>
      <c r="V548" s="26">
        <v>-7.8582758686231005E-2</v>
      </c>
      <c r="W548" s="18">
        <v>0.25350785267154402</v>
      </c>
      <c r="X548" s="18">
        <v>0.97731733461029502</v>
      </c>
      <c r="Y548" s="18">
        <v>-0.77805317580861399</v>
      </c>
      <c r="Z548" s="18">
        <v>-3.0241692206827299E-2</v>
      </c>
      <c r="AA548" s="18">
        <v>-0.30763969406005298</v>
      </c>
      <c r="AB548" s="18">
        <v>5.6471785951670898E-2</v>
      </c>
      <c r="AC548" s="18">
        <v>-0.21094100600028201</v>
      </c>
      <c r="AD548" s="18">
        <v>1.46206782058052</v>
      </c>
      <c r="AE548" s="21">
        <v>-0.99657168729388301</v>
      </c>
      <c r="AF548" s="3">
        <v>6.2675999999999998</v>
      </c>
      <c r="AG548" s="3">
        <v>0.115256</v>
      </c>
      <c r="AH548" s="3">
        <v>1.83023</v>
      </c>
      <c r="AI548" s="3">
        <v>49.957000000000001</v>
      </c>
      <c r="AJ548" s="3">
        <v>0.24665899999999999</v>
      </c>
      <c r="AK548" s="3">
        <v>0.79593700000000001</v>
      </c>
      <c r="AL548" s="3">
        <v>1.3541099999999999</v>
      </c>
      <c r="AM548" s="3">
        <v>0.10301</v>
      </c>
      <c r="AN548" s="3">
        <v>4.2013800000000003</v>
      </c>
      <c r="AO548" s="3">
        <v>37.895800000000001</v>
      </c>
      <c r="AP548" s="3">
        <v>0.25461299999999998</v>
      </c>
      <c r="AQ548" s="3">
        <v>0.73641900000000005</v>
      </c>
      <c r="AR548" s="3">
        <v>1.56368</v>
      </c>
      <c r="AS548" s="3">
        <v>0.13655600000000001</v>
      </c>
      <c r="AT548" s="3">
        <v>2.70661</v>
      </c>
      <c r="AU548" s="3">
        <v>18.876899999999999</v>
      </c>
      <c r="AV548" s="3">
        <v>0.29871300000000001</v>
      </c>
      <c r="AW548" s="3">
        <v>0.714534</v>
      </c>
      <c r="AX548" s="3">
        <v>0.19022</v>
      </c>
      <c r="AY548" s="3">
        <v>7.5564500000000007E-2</v>
      </c>
      <c r="AZ548" s="21">
        <v>4.6712400000000001</v>
      </c>
      <c r="BA548" s="3">
        <v>372.22</v>
      </c>
      <c r="BB548" s="3">
        <v>1</v>
      </c>
    </row>
    <row r="549" spans="1:54" ht="283.5" customHeight="1" x14ac:dyDescent="0.25">
      <c r="A549" s="2">
        <v>547</v>
      </c>
      <c r="B549" s="3">
        <v>15</v>
      </c>
      <c r="C549" s="2">
        <v>2</v>
      </c>
      <c r="D549" s="9">
        <v>66</v>
      </c>
      <c r="E549" s="3" t="s">
        <v>16</v>
      </c>
      <c r="F549" s="3">
        <f t="shared" si="72"/>
        <v>1</v>
      </c>
      <c r="G549" s="11" t="s">
        <v>17</v>
      </c>
      <c r="H549" s="3" t="s">
        <v>17</v>
      </c>
      <c r="I549" s="3">
        <f t="shared" si="68"/>
        <v>1</v>
      </c>
      <c r="J549" s="3" t="s">
        <v>18</v>
      </c>
      <c r="K549" s="3">
        <v>1</v>
      </c>
      <c r="L549" s="6" t="s">
        <v>281</v>
      </c>
      <c r="M549" s="3">
        <v>100</v>
      </c>
      <c r="N549" s="3">
        <f t="shared" si="69"/>
        <v>1</v>
      </c>
      <c r="O549" s="3">
        <v>76</v>
      </c>
      <c r="P549" s="3">
        <v>0.76</v>
      </c>
      <c r="Q549" s="17">
        <v>-8.8955026455025759E-4</v>
      </c>
      <c r="R549" s="21">
        <v>0.24585924406361179</v>
      </c>
      <c r="S549" s="3">
        <v>2</v>
      </c>
      <c r="T549" s="3">
        <v>49.2</v>
      </c>
      <c r="U549" s="3">
        <v>191.72</v>
      </c>
      <c r="V549" s="26">
        <v>-0.48189268167369997</v>
      </c>
      <c r="W549" s="18">
        <v>-0.45730543079897301</v>
      </c>
      <c r="X549" s="18">
        <v>0.10287093842014899</v>
      </c>
      <c r="Y549" s="18">
        <v>-0.70129594136990403</v>
      </c>
      <c r="Z549" s="18">
        <v>-1.62158441054015</v>
      </c>
      <c r="AA549" s="18">
        <v>-1.8354078096572599</v>
      </c>
      <c r="AB549" s="18">
        <v>0.34796810130780498</v>
      </c>
      <c r="AC549" s="18">
        <v>1.14633179425936</v>
      </c>
      <c r="AD549" s="18">
        <v>-0.84479326484912298</v>
      </c>
      <c r="AE549" s="21">
        <v>1.57603540587823</v>
      </c>
      <c r="AF549" s="3">
        <v>0.49691200000000002</v>
      </c>
      <c r="AG549" s="3">
        <v>0.20518600000000001</v>
      </c>
      <c r="AH549" s="3">
        <v>4.3060999999999998</v>
      </c>
      <c r="AI549" s="3">
        <v>27.565999999999999</v>
      </c>
      <c r="AJ549" s="3">
        <v>0.15171799999999999</v>
      </c>
      <c r="AK549" s="3">
        <v>-0.306869</v>
      </c>
      <c r="AL549" s="3">
        <v>0.109489</v>
      </c>
      <c r="AM549" s="3">
        <v>0.19819999999999999</v>
      </c>
      <c r="AN549" s="3">
        <v>6.8281999999999998</v>
      </c>
      <c r="AO549" s="3">
        <v>48.006700000000002</v>
      </c>
      <c r="AP549" s="3">
        <v>0.49585699999999999</v>
      </c>
      <c r="AQ549" s="3">
        <v>0.55651600000000001</v>
      </c>
      <c r="AR549" s="3">
        <v>0</v>
      </c>
      <c r="AS549" s="3">
        <v>0.22861699999999999</v>
      </c>
      <c r="AT549" s="3">
        <v>0.88854100000000003</v>
      </c>
      <c r="AU549" s="3">
        <v>0</v>
      </c>
      <c r="AV549" s="3">
        <v>9.6816799999999995E-2</v>
      </c>
      <c r="AW549" s="3">
        <v>-0.10058300000000001</v>
      </c>
      <c r="AX549" s="3">
        <v>7.25997</v>
      </c>
      <c r="AY549" s="3">
        <v>0.185975</v>
      </c>
      <c r="AZ549" s="21">
        <v>1.22376</v>
      </c>
      <c r="BA549" s="3">
        <v>142.51599999999999</v>
      </c>
      <c r="BB549" s="3">
        <v>1</v>
      </c>
    </row>
    <row r="550" spans="1:54" ht="94.5" customHeight="1" x14ac:dyDescent="0.25">
      <c r="A550" s="2">
        <v>548</v>
      </c>
      <c r="B550" s="3">
        <v>15</v>
      </c>
      <c r="C550" s="2">
        <v>2</v>
      </c>
      <c r="D550" s="9">
        <v>66</v>
      </c>
      <c r="E550" s="3" t="s">
        <v>16</v>
      </c>
      <c r="F550" s="3">
        <f t="shared" si="72"/>
        <v>1</v>
      </c>
      <c r="G550" s="12"/>
      <c r="H550" s="3" t="s">
        <v>17</v>
      </c>
      <c r="I550" s="3">
        <f t="shared" si="68"/>
        <v>1</v>
      </c>
      <c r="J550" s="3" t="s">
        <v>19</v>
      </c>
      <c r="K550" s="3">
        <v>2</v>
      </c>
      <c r="L550" s="6" t="s">
        <v>178</v>
      </c>
      <c r="M550" s="3">
        <v>100</v>
      </c>
      <c r="N550" s="3">
        <f t="shared" si="69"/>
        <v>1</v>
      </c>
      <c r="O550" s="3">
        <v>76</v>
      </c>
      <c r="P550" s="3">
        <v>0.76</v>
      </c>
      <c r="Q550" s="17">
        <v>1.9083333333333351E-2</v>
      </c>
      <c r="R550" s="21">
        <v>0.47545650578038029</v>
      </c>
      <c r="S550" s="3">
        <v>3</v>
      </c>
      <c r="T550" s="3">
        <v>191.72</v>
      </c>
      <c r="U550" s="3">
        <v>243.47</v>
      </c>
      <c r="V550" s="26">
        <v>-1.62461670788699</v>
      </c>
      <c r="W550" s="18">
        <v>0.68941381171724003</v>
      </c>
      <c r="X550" s="18">
        <v>-0.93968167524215196</v>
      </c>
      <c r="Y550" s="18">
        <v>-1.0157152842814401</v>
      </c>
      <c r="Z550" s="18">
        <v>-2.0111008404151201</v>
      </c>
      <c r="AA550" s="18">
        <v>-2.02666394865475</v>
      </c>
      <c r="AB550" s="18">
        <v>-1.8852079995815001E-2</v>
      </c>
      <c r="AC550" s="18">
        <v>1.6253067184519501</v>
      </c>
      <c r="AD550" s="18">
        <v>-0.67768422880692203</v>
      </c>
      <c r="AE550" s="21">
        <v>1.6669816526668999</v>
      </c>
      <c r="AF550" s="3">
        <v>1.39157</v>
      </c>
      <c r="AG550" s="3">
        <v>0.129413</v>
      </c>
      <c r="AH550" s="3">
        <v>3.6700900000000001</v>
      </c>
      <c r="AI550" s="3">
        <v>52.415900000000001</v>
      </c>
      <c r="AJ550" s="3">
        <v>0.35788900000000001</v>
      </c>
      <c r="AK550" s="3">
        <v>1.2970600000000001</v>
      </c>
      <c r="AL550" s="3">
        <v>0</v>
      </c>
      <c r="AM550" s="3">
        <v>2.8749899999999998E-2</v>
      </c>
      <c r="AN550" s="3">
        <v>-0.45928400000000003</v>
      </c>
      <c r="AO550" s="3">
        <v>50.351799999999997</v>
      </c>
      <c r="AP550" s="3">
        <v>0.58749799999999996</v>
      </c>
      <c r="AQ550" s="3">
        <v>0.70265699999999998</v>
      </c>
      <c r="AR550" s="3">
        <v>3.8732099999999998</v>
      </c>
      <c r="AS550" s="3">
        <v>7.7714500000000006E-2</v>
      </c>
      <c r="AT550" s="3">
        <v>1.6291599999999999</v>
      </c>
      <c r="AU550" s="3">
        <v>0</v>
      </c>
      <c r="AV550" s="3">
        <v>0.172926</v>
      </c>
      <c r="AW550" s="3">
        <v>2.2868599999999999</v>
      </c>
      <c r="AX550" s="3">
        <v>6.4708199999999998</v>
      </c>
      <c r="AY550" s="3">
        <v>1.00478</v>
      </c>
      <c r="AZ550" s="21">
        <v>2.7131500000000002</v>
      </c>
      <c r="BA550" s="3">
        <v>51.75</v>
      </c>
      <c r="BB550" s="3">
        <v>2</v>
      </c>
    </row>
    <row r="551" spans="1:54" ht="94.5" customHeight="1" x14ac:dyDescent="0.25">
      <c r="A551" s="2">
        <v>549</v>
      </c>
      <c r="B551" s="3">
        <v>15</v>
      </c>
      <c r="C551" s="2">
        <v>2</v>
      </c>
      <c r="D551" s="9">
        <v>66</v>
      </c>
      <c r="E551" s="3" t="s">
        <v>16</v>
      </c>
      <c r="F551" s="3">
        <f>IF(E552="Happy", 1,2)</f>
        <v>1</v>
      </c>
      <c r="G551" s="12"/>
      <c r="H551" s="3" t="s">
        <v>17</v>
      </c>
      <c r="I551" s="3">
        <f t="shared" si="68"/>
        <v>1</v>
      </c>
      <c r="J551" s="3" t="s">
        <v>20</v>
      </c>
      <c r="K551" s="3">
        <v>3</v>
      </c>
      <c r="L551" s="6" t="s">
        <v>195</v>
      </c>
      <c r="M551" s="3">
        <v>100</v>
      </c>
      <c r="N551" s="3">
        <f t="shared" si="69"/>
        <v>1</v>
      </c>
      <c r="O551" s="3">
        <v>76</v>
      </c>
      <c r="P551" s="3">
        <v>0.76</v>
      </c>
      <c r="Q551" s="17">
        <v>9.2857142857142874E-2</v>
      </c>
      <c r="R551" s="21">
        <v>0.12707462053326571</v>
      </c>
      <c r="S551" s="3">
        <v>4</v>
      </c>
      <c r="T551" s="3">
        <v>243.47</v>
      </c>
      <c r="U551" s="3">
        <v>325.7</v>
      </c>
      <c r="V551" s="26">
        <v>1.24716627158888</v>
      </c>
      <c r="W551" s="18">
        <v>0.828284852324771</v>
      </c>
      <c r="X551" s="18">
        <v>0.80257802143316004</v>
      </c>
      <c r="Y551" s="18">
        <v>1.02985263477238</v>
      </c>
      <c r="Z551" s="18">
        <v>-0.41819420472949698</v>
      </c>
      <c r="AA551" s="18">
        <v>-0.40847268765238098</v>
      </c>
      <c r="AB551" s="18">
        <v>-0.59218147255553799</v>
      </c>
      <c r="AC551" s="18">
        <v>0.48452609348817399</v>
      </c>
      <c r="AD551" s="18">
        <v>-1.23269261488921E-2</v>
      </c>
      <c r="AE551" s="21">
        <v>-4.3132594984332202E-2</v>
      </c>
      <c r="AF551" s="3">
        <v>0.10219</v>
      </c>
      <c r="AG551" s="3">
        <v>7.6532000000000003E-2</v>
      </c>
      <c r="AH551" s="3">
        <v>3.34117</v>
      </c>
      <c r="AI551" s="3">
        <v>32.919699999999999</v>
      </c>
      <c r="AJ551" s="3">
        <v>0.36456</v>
      </c>
      <c r="AK551" s="3">
        <v>0.29233999999999999</v>
      </c>
      <c r="AL551" s="3">
        <v>0</v>
      </c>
      <c r="AM551" s="3">
        <v>0.122864</v>
      </c>
      <c r="AN551" s="3">
        <v>-0.35469200000000001</v>
      </c>
      <c r="AO551" s="3">
        <v>43.299300000000002</v>
      </c>
      <c r="AP551" s="3">
        <v>0.21868799999999999</v>
      </c>
      <c r="AQ551" s="3">
        <v>-0.389652</v>
      </c>
      <c r="AR551" s="3">
        <v>12.043799999999999</v>
      </c>
      <c r="AS551" s="3">
        <v>0.293124</v>
      </c>
      <c r="AT551" s="3">
        <v>1.8793899999999999</v>
      </c>
      <c r="AU551" s="3">
        <v>0</v>
      </c>
      <c r="AV551" s="3">
        <v>0.38664500000000002</v>
      </c>
      <c r="AW551" s="3">
        <v>0.85937799999999998</v>
      </c>
      <c r="AX551" s="3">
        <v>0.46715299999999998</v>
      </c>
      <c r="AY551" s="3">
        <v>0.371948</v>
      </c>
      <c r="AZ551" s="21">
        <v>1.8327800000000001</v>
      </c>
      <c r="BA551" s="3">
        <v>82.227999999999994</v>
      </c>
      <c r="BB551" s="3">
        <v>3</v>
      </c>
    </row>
    <row r="552" spans="1:54" ht="283.5" customHeight="1" x14ac:dyDescent="0.25">
      <c r="A552" s="2">
        <v>550</v>
      </c>
      <c r="B552" s="3">
        <v>15</v>
      </c>
      <c r="C552" s="2">
        <v>2</v>
      </c>
      <c r="D552" s="9">
        <v>66</v>
      </c>
      <c r="E552" s="3" t="s">
        <v>16</v>
      </c>
      <c r="F552" s="3">
        <f>IF(E553="Happy", 1,2)</f>
        <v>1</v>
      </c>
      <c r="G552" s="12"/>
      <c r="H552" s="3" t="s">
        <v>17</v>
      </c>
      <c r="I552" s="3">
        <f t="shared" si="68"/>
        <v>1</v>
      </c>
      <c r="J552" s="3" t="s">
        <v>21</v>
      </c>
      <c r="K552" s="3">
        <v>4</v>
      </c>
      <c r="L552" s="6" t="s">
        <v>282</v>
      </c>
      <c r="M552" s="3">
        <v>100</v>
      </c>
      <c r="N552" s="3">
        <f t="shared" si="69"/>
        <v>1</v>
      </c>
      <c r="O552" s="3">
        <v>76</v>
      </c>
      <c r="P552" s="3">
        <v>0.76</v>
      </c>
      <c r="Q552" s="17">
        <v>0.24934210526315789</v>
      </c>
      <c r="R552" s="21">
        <v>0.27953369722046278</v>
      </c>
      <c r="S552" s="3">
        <v>5</v>
      </c>
      <c r="T552" s="3">
        <v>325.7</v>
      </c>
      <c r="U552" s="3">
        <v>488.47</v>
      </c>
      <c r="V552" s="26">
        <v>2.0458162159739799</v>
      </c>
      <c r="W552" s="18">
        <v>1.2392370046279699</v>
      </c>
      <c r="X552" s="18">
        <v>1.6517976239660801</v>
      </c>
      <c r="Y552" s="18">
        <v>1.95616251432175</v>
      </c>
      <c r="Z552" s="18">
        <v>-4.9732717009929699E-2</v>
      </c>
      <c r="AA552" s="18">
        <v>3.3698724869970803E-2</v>
      </c>
      <c r="AB552" s="18">
        <v>-0.220478550311173</v>
      </c>
      <c r="AC552" s="18">
        <v>0.64615406137609499</v>
      </c>
      <c r="AD552" s="18">
        <v>-0.53854679542643002</v>
      </c>
      <c r="AE552" s="21">
        <v>0.58049881156654504</v>
      </c>
      <c r="AF552" s="3">
        <v>0.213812</v>
      </c>
      <c r="AG552" s="3">
        <v>0.117075</v>
      </c>
      <c r="AH552" s="3">
        <v>3.6706799999999999</v>
      </c>
      <c r="AI552" s="3">
        <v>40.351399999999998</v>
      </c>
      <c r="AJ552" s="3">
        <v>0.23704600000000001</v>
      </c>
      <c r="AK552" s="3">
        <v>-0.203125</v>
      </c>
      <c r="AL552" s="3">
        <v>0</v>
      </c>
      <c r="AM552" s="3">
        <v>0</v>
      </c>
      <c r="AN552" s="3">
        <v>-0.487651</v>
      </c>
      <c r="AO552" s="3">
        <v>48.645899999999997</v>
      </c>
      <c r="AP552" s="3">
        <v>0.420796</v>
      </c>
      <c r="AQ552" s="3">
        <v>0.58978200000000003</v>
      </c>
      <c r="AR552" s="3">
        <v>10.9413</v>
      </c>
      <c r="AS552" s="3">
        <v>0.36544100000000002</v>
      </c>
      <c r="AT552" s="3">
        <v>2.3033100000000002</v>
      </c>
      <c r="AU552" s="3">
        <v>0.44974199999999998</v>
      </c>
      <c r="AV552" s="3">
        <v>0.129416</v>
      </c>
      <c r="AW552" s="3">
        <v>7.6301399999999999</v>
      </c>
      <c r="AX552" s="3">
        <v>2.4772699999999999</v>
      </c>
      <c r="AY552" s="3">
        <v>0.24021999999999999</v>
      </c>
      <c r="AZ552" s="21">
        <v>1.51816</v>
      </c>
      <c r="BA552" s="3">
        <v>162.77199999999999</v>
      </c>
      <c r="BB552" s="3">
        <v>4</v>
      </c>
    </row>
    <row r="553" spans="1:54" ht="110.25" customHeight="1" x14ac:dyDescent="0.25">
      <c r="A553" s="2">
        <v>551</v>
      </c>
      <c r="B553" s="3">
        <v>15</v>
      </c>
      <c r="C553" s="2">
        <v>2</v>
      </c>
      <c r="D553" s="9">
        <v>66</v>
      </c>
      <c r="E553" s="3" t="s">
        <v>16</v>
      </c>
      <c r="F553" s="3">
        <f t="shared" ref="F553:F560" si="73">IF(E553="Happy", 1,2)</f>
        <v>1</v>
      </c>
      <c r="G553" s="12"/>
      <c r="H553" s="3" t="s">
        <v>17</v>
      </c>
      <c r="I553" s="3">
        <f t="shared" si="68"/>
        <v>1</v>
      </c>
      <c r="J553" s="3" t="s">
        <v>22</v>
      </c>
      <c r="K553" s="3">
        <v>5</v>
      </c>
      <c r="L553" s="6" t="s">
        <v>186</v>
      </c>
      <c r="M553" s="3">
        <v>100</v>
      </c>
      <c r="N553" s="3">
        <f t="shared" si="69"/>
        <v>1</v>
      </c>
      <c r="O553" s="3">
        <v>76</v>
      </c>
      <c r="P553" s="3">
        <v>0.76</v>
      </c>
      <c r="Q553" s="17">
        <v>8.7129629629629626E-2</v>
      </c>
      <c r="R553" s="21">
        <v>0.34748279111843328</v>
      </c>
      <c r="S553" s="3">
        <v>6</v>
      </c>
      <c r="T553" s="3">
        <v>488.47</v>
      </c>
      <c r="U553" s="3">
        <v>566.64</v>
      </c>
      <c r="V553" s="26">
        <v>1.80597888157613</v>
      </c>
      <c r="W553" s="18">
        <v>0.820557567797217</v>
      </c>
      <c r="X553" s="18">
        <v>0.82777915525573897</v>
      </c>
      <c r="Y553" s="18">
        <v>2.8446649841501901</v>
      </c>
      <c r="Z553" s="18">
        <v>0.31760082737988699</v>
      </c>
      <c r="AA553" s="18">
        <v>0.65160668515851194</v>
      </c>
      <c r="AB553" s="18">
        <v>-0.15037878002202301</v>
      </c>
      <c r="AC553" s="18">
        <v>-0.23984527227188501</v>
      </c>
      <c r="AD553" s="18">
        <v>5.9075993994580599E-2</v>
      </c>
      <c r="AE553" s="21">
        <v>8.0294454228862097E-2</v>
      </c>
      <c r="AF553" s="3">
        <v>0.12285600000000001</v>
      </c>
      <c r="AG553" s="3">
        <v>0.19700899999999999</v>
      </c>
      <c r="AH553" s="3">
        <v>4.0513399999999997</v>
      </c>
      <c r="AI553" s="3">
        <v>28.3338</v>
      </c>
      <c r="AJ553" s="3">
        <v>0.22950999999999999</v>
      </c>
      <c r="AK553" s="3">
        <v>0.14391499999999999</v>
      </c>
      <c r="AL553" s="3">
        <v>0</v>
      </c>
      <c r="AM553" s="3">
        <v>5.0000000000000001E-3</v>
      </c>
      <c r="AN553" s="3">
        <v>-0.47425200000000001</v>
      </c>
      <c r="AO553" s="3">
        <v>44.397199999999998</v>
      </c>
      <c r="AP553" s="3">
        <v>0.35942400000000002</v>
      </c>
      <c r="AQ553" s="3">
        <v>2.2191700000000002E-2</v>
      </c>
      <c r="AR553" s="3">
        <v>8.9531600000000005</v>
      </c>
      <c r="AS553" s="3">
        <v>0.451152</v>
      </c>
      <c r="AT553" s="3">
        <v>2.3824800000000002</v>
      </c>
      <c r="AU553" s="3">
        <v>0</v>
      </c>
      <c r="AV553" s="3">
        <v>0.23949100000000001</v>
      </c>
      <c r="AW553" s="3">
        <v>0.41980400000000001</v>
      </c>
      <c r="AX553" s="3">
        <v>0.62963899999999995</v>
      </c>
      <c r="AY553" s="3">
        <v>0.64458800000000005</v>
      </c>
      <c r="AZ553" s="21">
        <v>2.0278299999999998</v>
      </c>
      <c r="BA553" s="3">
        <v>78.167000000000002</v>
      </c>
      <c r="BB553" s="3">
        <v>5</v>
      </c>
    </row>
    <row r="554" spans="1:54" ht="141.75" customHeight="1" x14ac:dyDescent="0.25">
      <c r="A554" s="2">
        <v>552</v>
      </c>
      <c r="B554" s="3">
        <v>15</v>
      </c>
      <c r="C554" s="2">
        <v>2</v>
      </c>
      <c r="D554" s="9">
        <v>66</v>
      </c>
      <c r="E554" s="3" t="s">
        <v>16</v>
      </c>
      <c r="F554" s="3">
        <f t="shared" si="73"/>
        <v>1</v>
      </c>
      <c r="G554" s="11" t="s">
        <v>26</v>
      </c>
      <c r="H554" s="3" t="s">
        <v>26</v>
      </c>
      <c r="I554" s="3">
        <f t="shared" si="68"/>
        <v>2</v>
      </c>
      <c r="J554" s="3" t="s">
        <v>27</v>
      </c>
      <c r="K554" s="3">
        <v>1</v>
      </c>
      <c r="L554" s="6" t="s">
        <v>204</v>
      </c>
      <c r="M554" s="3">
        <v>100</v>
      </c>
      <c r="N554" s="3">
        <f t="shared" si="69"/>
        <v>1</v>
      </c>
      <c r="O554" s="3">
        <v>94</v>
      </c>
      <c r="P554" s="3">
        <v>0.94</v>
      </c>
      <c r="Q554" s="17">
        <v>0.30857142857142861</v>
      </c>
      <c r="R554" s="21">
        <v>0.25448146001637029</v>
      </c>
      <c r="S554" s="3">
        <v>2</v>
      </c>
      <c r="T554" s="3">
        <v>52.78</v>
      </c>
      <c r="U554" s="3">
        <v>123.96</v>
      </c>
      <c r="V554" s="26">
        <v>0.82378666537394596</v>
      </c>
      <c r="W554" s="18">
        <v>-0.45610721262856202</v>
      </c>
      <c r="X554" s="18">
        <v>-0.74583363037010098</v>
      </c>
      <c r="Y554" s="18">
        <v>0.39500557499066102</v>
      </c>
      <c r="Z554" s="18">
        <v>4.3385271213078301E-2</v>
      </c>
      <c r="AA554" s="18">
        <v>3.7122164112169398E-2</v>
      </c>
      <c r="AB554" s="18">
        <v>0.88674271182533504</v>
      </c>
      <c r="AC554" s="18">
        <v>0.37468859272993199</v>
      </c>
      <c r="AD554" s="18">
        <v>-0.86857240247488499</v>
      </c>
      <c r="AE554" s="21">
        <v>-0.35982041862344899</v>
      </c>
      <c r="AF554" s="3">
        <v>1.8043800000000001</v>
      </c>
      <c r="AG554" s="3">
        <v>0.33668399999999998</v>
      </c>
      <c r="AH554" s="3">
        <v>2.02095</v>
      </c>
      <c r="AI554" s="3">
        <v>24.974699999999999</v>
      </c>
      <c r="AJ554" s="3">
        <v>0.354655</v>
      </c>
      <c r="AK554" s="3">
        <v>2.0712199999999998</v>
      </c>
      <c r="AL554" s="3">
        <v>0</v>
      </c>
      <c r="AM554" s="3">
        <v>2.0181000000000001E-2</v>
      </c>
      <c r="AN554" s="3">
        <v>-0.406916</v>
      </c>
      <c r="AO554" s="3">
        <v>26.408100000000001</v>
      </c>
      <c r="AP554" s="3">
        <v>0.19981199999999999</v>
      </c>
      <c r="AQ554" s="3">
        <v>0.69233500000000003</v>
      </c>
      <c r="AR554" s="3">
        <v>0.26981500000000003</v>
      </c>
      <c r="AS554" s="3">
        <v>0.125698</v>
      </c>
      <c r="AT554" s="3">
        <v>1.55383</v>
      </c>
      <c r="AU554" s="3">
        <v>0</v>
      </c>
      <c r="AV554" s="3">
        <v>0</v>
      </c>
      <c r="AW554" s="3">
        <v>-0.45126500000000003</v>
      </c>
      <c r="AX554" s="3">
        <v>0.99494099999999996</v>
      </c>
      <c r="AY554" s="3">
        <v>0.29480499999999998</v>
      </c>
      <c r="AZ554" s="21">
        <v>2.8811200000000001</v>
      </c>
      <c r="BA554" s="3">
        <v>71.180000000000007</v>
      </c>
      <c r="BB554" s="3">
        <v>1</v>
      </c>
    </row>
    <row r="555" spans="1:54" ht="204.75" customHeight="1" x14ac:dyDescent="0.25">
      <c r="A555" s="2">
        <v>553</v>
      </c>
      <c r="B555" s="3">
        <v>15</v>
      </c>
      <c r="C555" s="2">
        <v>2</v>
      </c>
      <c r="D555" s="9">
        <v>66</v>
      </c>
      <c r="E555" s="3" t="s">
        <v>16</v>
      </c>
      <c r="F555" s="3">
        <f t="shared" si="73"/>
        <v>1</v>
      </c>
      <c r="G555" s="12"/>
      <c r="H555" s="3" t="s">
        <v>26</v>
      </c>
      <c r="I555" s="3">
        <f t="shared" si="68"/>
        <v>2</v>
      </c>
      <c r="J555" s="3" t="s">
        <v>28</v>
      </c>
      <c r="K555" s="3">
        <v>2</v>
      </c>
      <c r="L555" s="6" t="s">
        <v>283</v>
      </c>
      <c r="M555" s="3">
        <v>100</v>
      </c>
      <c r="N555" s="3">
        <f t="shared" si="69"/>
        <v>1</v>
      </c>
      <c r="O555" s="3">
        <v>94</v>
      </c>
      <c r="P555" s="3">
        <v>0.94</v>
      </c>
      <c r="Q555" s="17">
        <v>0.28076559934318562</v>
      </c>
      <c r="R555" s="21">
        <v>0.31902345810940441</v>
      </c>
      <c r="S555" s="3">
        <v>3</v>
      </c>
      <c r="T555" s="3">
        <v>123.96</v>
      </c>
      <c r="U555" s="3">
        <v>245.65</v>
      </c>
      <c r="V555" s="26">
        <v>0.35089267047735501</v>
      </c>
      <c r="W555" s="18">
        <v>0.52081962445387897</v>
      </c>
      <c r="X555" s="18">
        <v>0.66270196083652599</v>
      </c>
      <c r="Y555" s="18">
        <v>0.684484497696488</v>
      </c>
      <c r="Z555" s="18">
        <v>0.19402836925352901</v>
      </c>
      <c r="AA555" s="18">
        <v>0.41894975425870401</v>
      </c>
      <c r="AB555" s="18">
        <v>-0.844342604355522</v>
      </c>
      <c r="AC555" s="18">
        <v>0.48556885457132198</v>
      </c>
      <c r="AD555" s="18">
        <v>0.53793410981915502</v>
      </c>
      <c r="AE555" s="21">
        <v>-1.34561277220778</v>
      </c>
      <c r="AF555" s="3">
        <v>4.9704100000000002</v>
      </c>
      <c r="AG555" s="3">
        <v>0.27423199999999998</v>
      </c>
      <c r="AH555" s="3">
        <v>2.1367699999999998</v>
      </c>
      <c r="AI555" s="3">
        <v>21.4694</v>
      </c>
      <c r="AJ555" s="3">
        <v>0.452289</v>
      </c>
      <c r="AK555" s="3">
        <v>1.41208</v>
      </c>
      <c r="AL555" s="3">
        <v>0</v>
      </c>
      <c r="AM555" s="3">
        <v>0.14114599999999999</v>
      </c>
      <c r="AN555" s="3">
        <v>2.6342899999999999E-2</v>
      </c>
      <c r="AO555" s="3">
        <v>33.0473</v>
      </c>
      <c r="AP555" s="3">
        <v>8.0401600000000004E-2</v>
      </c>
      <c r="AQ555" s="3">
        <v>0.308979</v>
      </c>
      <c r="AR555" s="3">
        <v>6.3510799999999996</v>
      </c>
      <c r="AS555" s="3">
        <v>0.38979900000000001</v>
      </c>
      <c r="AT555" s="3">
        <v>2.2315800000000001</v>
      </c>
      <c r="AU555" s="3">
        <v>0</v>
      </c>
      <c r="AV555" s="3">
        <v>0.12014</v>
      </c>
      <c r="AW555" s="3">
        <v>-0.19250100000000001</v>
      </c>
      <c r="AX555" s="3">
        <v>4.7830399999999997</v>
      </c>
      <c r="AY555" s="3">
        <v>0.106708</v>
      </c>
      <c r="AZ555" s="21">
        <v>2.27284</v>
      </c>
      <c r="BA555" s="3">
        <v>121.69</v>
      </c>
      <c r="BB555" s="3">
        <v>2</v>
      </c>
    </row>
    <row r="556" spans="1:54" ht="141.75" customHeight="1" x14ac:dyDescent="0.25">
      <c r="A556" s="2">
        <v>554</v>
      </c>
      <c r="B556" s="3">
        <v>15</v>
      </c>
      <c r="C556" s="2">
        <v>2</v>
      </c>
      <c r="D556" s="9">
        <v>66</v>
      </c>
      <c r="E556" s="3" t="s">
        <v>16</v>
      </c>
      <c r="F556" s="3">
        <f t="shared" si="73"/>
        <v>1</v>
      </c>
      <c r="G556" s="12"/>
      <c r="H556" s="3" t="s">
        <v>26</v>
      </c>
      <c r="I556" s="3">
        <f t="shared" si="68"/>
        <v>2</v>
      </c>
      <c r="J556" s="3" t="s">
        <v>29</v>
      </c>
      <c r="K556" s="3">
        <v>3</v>
      </c>
      <c r="L556" s="6" t="s">
        <v>171</v>
      </c>
      <c r="M556" s="3">
        <v>100</v>
      </c>
      <c r="N556" s="3">
        <f t="shared" si="69"/>
        <v>1</v>
      </c>
      <c r="O556" s="3">
        <v>94</v>
      </c>
      <c r="P556" s="3">
        <v>0.94</v>
      </c>
      <c r="Q556" s="17">
        <v>4.027777777777778E-2</v>
      </c>
      <c r="R556" s="21">
        <v>0.33501312854319049</v>
      </c>
      <c r="S556" s="3">
        <v>4</v>
      </c>
      <c r="T556" s="3">
        <v>245.65</v>
      </c>
      <c r="U556" s="3">
        <v>325.95999999999998</v>
      </c>
      <c r="V556" s="26">
        <v>-0.49312075575381797</v>
      </c>
      <c r="W556" s="18">
        <v>-0.70503092417361601</v>
      </c>
      <c r="X556" s="18">
        <v>-0.83088168509142701</v>
      </c>
      <c r="Y556" s="18">
        <v>-0.55760511132109702</v>
      </c>
      <c r="Z556" s="18">
        <v>-0.22356131682865199</v>
      </c>
      <c r="AA556" s="18">
        <v>-0.37921369359572499</v>
      </c>
      <c r="AB556" s="18">
        <v>-1.18890021857267</v>
      </c>
      <c r="AC556" s="18">
        <v>-0.34342620653124201</v>
      </c>
      <c r="AD556" s="18">
        <v>-0.95543503743841196</v>
      </c>
      <c r="AE556" s="21">
        <v>-0.39067718092674802</v>
      </c>
      <c r="AF556" s="3">
        <v>10.4634</v>
      </c>
      <c r="AG556" s="3">
        <v>3.11677E-2</v>
      </c>
      <c r="AH556" s="3">
        <v>1.56158</v>
      </c>
      <c r="AI556" s="3">
        <v>16.292999999999999</v>
      </c>
      <c r="AJ556" s="3">
        <v>0.26200800000000002</v>
      </c>
      <c r="AK556" s="3">
        <v>1.2679499999999999</v>
      </c>
      <c r="AL556" s="3">
        <v>0</v>
      </c>
      <c r="AM556" s="3">
        <v>0.21918799999999999</v>
      </c>
      <c r="AN556" s="3">
        <v>1.4276899999999999</v>
      </c>
      <c r="AO556" s="3">
        <v>36.009</v>
      </c>
      <c r="AP556" s="3">
        <v>0.144785</v>
      </c>
      <c r="AQ556" s="3">
        <v>0.49558200000000002</v>
      </c>
      <c r="AR556" s="3">
        <v>3.9760800000000001</v>
      </c>
      <c r="AS556" s="3">
        <v>7.2518799999999994E-2</v>
      </c>
      <c r="AT556" s="3">
        <v>1.46519</v>
      </c>
      <c r="AU556" s="3">
        <v>0</v>
      </c>
      <c r="AV556" s="3">
        <v>1.31559E-2</v>
      </c>
      <c r="AW556" s="3">
        <v>-0.41676800000000003</v>
      </c>
      <c r="AX556" s="3">
        <v>4.5590400000000004</v>
      </c>
      <c r="AY556" s="3">
        <v>0.33717900000000001</v>
      </c>
      <c r="AZ556" s="21">
        <v>2.80409</v>
      </c>
      <c r="BA556" s="3">
        <v>80.308999999999997</v>
      </c>
      <c r="BB556" s="3">
        <v>3</v>
      </c>
    </row>
    <row r="557" spans="1:54" ht="220.5" customHeight="1" x14ac:dyDescent="0.25">
      <c r="A557" s="2">
        <v>555</v>
      </c>
      <c r="B557" s="3">
        <v>15</v>
      </c>
      <c r="C557" s="2">
        <v>2</v>
      </c>
      <c r="D557" s="9">
        <v>66</v>
      </c>
      <c r="E557" s="3" t="s">
        <v>16</v>
      </c>
      <c r="F557" s="3">
        <f t="shared" si="73"/>
        <v>1</v>
      </c>
      <c r="G557" s="12"/>
      <c r="H557" s="3" t="s">
        <v>26</v>
      </c>
      <c r="I557" s="3">
        <f t="shared" si="68"/>
        <v>2</v>
      </c>
      <c r="J557" s="3" t="s">
        <v>30</v>
      </c>
      <c r="K557" s="3">
        <v>4</v>
      </c>
      <c r="L557" s="6" t="s">
        <v>246</v>
      </c>
      <c r="M557" s="3">
        <v>100</v>
      </c>
      <c r="N557" s="3">
        <f t="shared" si="69"/>
        <v>1</v>
      </c>
      <c r="O557" s="3">
        <v>94</v>
      </c>
      <c r="P557" s="3">
        <v>0.94</v>
      </c>
      <c r="Q557" s="17">
        <v>0.19428902116402119</v>
      </c>
      <c r="R557" s="21">
        <v>0.2532853261901547</v>
      </c>
      <c r="S557" s="3">
        <v>5</v>
      </c>
      <c r="T557" s="3">
        <v>325.95999999999998</v>
      </c>
      <c r="U557" s="3">
        <v>463.82</v>
      </c>
      <c r="V557" s="26">
        <v>9.7133039860754999E-2</v>
      </c>
      <c r="W557" s="18">
        <v>0.41799294268690101</v>
      </c>
      <c r="X557" s="18">
        <v>-0.51289985236434299</v>
      </c>
      <c r="Y557" s="18">
        <v>0.156427782613759</v>
      </c>
      <c r="Z557" s="18">
        <v>0.196910891096233</v>
      </c>
      <c r="AA557" s="18">
        <v>0.26466675907696002</v>
      </c>
      <c r="AB557" s="18">
        <v>-0.663920204838783</v>
      </c>
      <c r="AC557" s="18">
        <v>-0.19396378461337899</v>
      </c>
      <c r="AD557" s="18">
        <v>0.230705031403662</v>
      </c>
      <c r="AE557" s="21">
        <v>-0.88113729753707404</v>
      </c>
      <c r="AF557" s="3">
        <v>19.074300000000001</v>
      </c>
      <c r="AG557" s="3">
        <v>9.4264100000000003E-2</v>
      </c>
      <c r="AH557" s="3">
        <v>1.4540599999999999</v>
      </c>
      <c r="AI557" s="3">
        <v>22.930900000000001</v>
      </c>
      <c r="AJ557" s="3">
        <v>0.22961999999999999</v>
      </c>
      <c r="AK557" s="3">
        <v>1.33761</v>
      </c>
      <c r="AL557" s="3">
        <v>0.23505499999999999</v>
      </c>
      <c r="AM557" s="3">
        <v>0.30591499999999999</v>
      </c>
      <c r="AN557" s="3">
        <v>11.2881</v>
      </c>
      <c r="AO557" s="3">
        <v>39.646000000000001</v>
      </c>
      <c r="AP557" s="3">
        <v>0.12945999999999999</v>
      </c>
      <c r="AQ557" s="3">
        <v>0.52388599999999996</v>
      </c>
      <c r="AR557" s="3">
        <v>5.9895500000000004</v>
      </c>
      <c r="AS557" s="3">
        <v>0.25805600000000001</v>
      </c>
      <c r="AT557" s="3">
        <v>1.9605600000000001</v>
      </c>
      <c r="AU557" s="3">
        <v>0</v>
      </c>
      <c r="AV557" s="3">
        <v>7.4209899999999995E-2</v>
      </c>
      <c r="AW557" s="3">
        <v>-0.22603500000000001</v>
      </c>
      <c r="AX557" s="3">
        <v>3.5345300000000002</v>
      </c>
      <c r="AY557" s="3">
        <v>0.209538</v>
      </c>
      <c r="AZ557" s="21">
        <v>2.8757899999999998</v>
      </c>
      <c r="BA557" s="3">
        <v>137.86099999999999</v>
      </c>
      <c r="BB557" s="3">
        <v>4</v>
      </c>
    </row>
    <row r="558" spans="1:54" ht="204.75" customHeight="1" x14ac:dyDescent="0.25">
      <c r="A558" s="2">
        <v>556</v>
      </c>
      <c r="B558" s="3">
        <v>15</v>
      </c>
      <c r="C558" s="2">
        <v>2</v>
      </c>
      <c r="D558" s="9">
        <v>66</v>
      </c>
      <c r="E558" s="3" t="s">
        <v>16</v>
      </c>
      <c r="F558" s="3">
        <f t="shared" si="73"/>
        <v>1</v>
      </c>
      <c r="G558" s="12"/>
      <c r="H558" s="3" t="s">
        <v>26</v>
      </c>
      <c r="I558" s="3">
        <f t="shared" si="68"/>
        <v>2</v>
      </c>
      <c r="J558" s="3" t="s">
        <v>31</v>
      </c>
      <c r="K558" s="3">
        <v>5</v>
      </c>
      <c r="L558" s="6" t="s">
        <v>284</v>
      </c>
      <c r="M558" s="3">
        <v>100</v>
      </c>
      <c r="N558" s="3">
        <f t="shared" si="69"/>
        <v>1</v>
      </c>
      <c r="O558" s="3">
        <v>94</v>
      </c>
      <c r="P558" s="3">
        <v>0.94</v>
      </c>
      <c r="Q558" s="17">
        <v>8.6632478632478624E-2</v>
      </c>
      <c r="R558" s="21">
        <v>0.23472044166001041</v>
      </c>
      <c r="S558" s="3">
        <v>6</v>
      </c>
      <c r="T558" s="3">
        <v>463.82</v>
      </c>
      <c r="U558" s="3">
        <v>611.51</v>
      </c>
      <c r="V558" s="26">
        <v>4.8765951515648297E-2</v>
      </c>
      <c r="W558" s="18">
        <v>-0.10120232658217899</v>
      </c>
      <c r="X558" s="18">
        <v>-0.63499481698975502</v>
      </c>
      <c r="Y558" s="18">
        <v>0.93751639723805902</v>
      </c>
      <c r="Z558" s="18">
        <v>-0.49439304300619802</v>
      </c>
      <c r="AA558" s="18">
        <v>-0.452840460231273</v>
      </c>
      <c r="AB558" s="18">
        <v>-1.9359595825065701</v>
      </c>
      <c r="AC558" s="18">
        <v>0.172045355571527</v>
      </c>
      <c r="AD558" s="18">
        <v>-8.3309829115051498E-3</v>
      </c>
      <c r="AE558" s="21">
        <v>-0.43290222407863099</v>
      </c>
      <c r="AF558" s="3">
        <v>0.487541</v>
      </c>
      <c r="AG558" s="3">
        <v>0.157999</v>
      </c>
      <c r="AH558" s="3">
        <v>1.68292</v>
      </c>
      <c r="AI558" s="3">
        <v>21.606200000000001</v>
      </c>
      <c r="AJ558" s="3">
        <v>0.23062299999999999</v>
      </c>
      <c r="AK558" s="3">
        <v>1.0040500000000001</v>
      </c>
      <c r="AL558" s="3">
        <v>0.10563400000000001</v>
      </c>
      <c r="AM558" s="3">
        <v>4.2937000000000003E-2</v>
      </c>
      <c r="AN558" s="3">
        <v>8.4708100000000002</v>
      </c>
      <c r="AO558" s="3">
        <v>36.931199999999997</v>
      </c>
      <c r="AP558" s="3">
        <v>0.139094</v>
      </c>
      <c r="AQ558" s="3">
        <v>0.92640999999999996</v>
      </c>
      <c r="AR558" s="3">
        <v>14.2118</v>
      </c>
      <c r="AS558" s="3">
        <v>0.21539</v>
      </c>
      <c r="AT558" s="3">
        <v>2.7077900000000001</v>
      </c>
      <c r="AU558" s="3">
        <v>8.9382400000000001E-2</v>
      </c>
      <c r="AV558" s="3">
        <v>0.14473800000000001</v>
      </c>
      <c r="AW558" s="3">
        <v>8.1737900000000003</v>
      </c>
      <c r="AX558" s="3">
        <v>0.35753000000000001</v>
      </c>
      <c r="AY558" s="3">
        <v>4.1057499999999997E-2</v>
      </c>
      <c r="AZ558" s="21">
        <v>1.96069</v>
      </c>
      <c r="BA558" s="3">
        <v>147.69399999999999</v>
      </c>
      <c r="BB558" s="3">
        <v>5</v>
      </c>
    </row>
    <row r="559" spans="1:54" ht="157.5" customHeight="1" x14ac:dyDescent="0.25">
      <c r="A559" s="2">
        <v>557</v>
      </c>
      <c r="B559" s="3">
        <v>15</v>
      </c>
      <c r="C559" s="2">
        <v>2</v>
      </c>
      <c r="D559" s="9">
        <v>66</v>
      </c>
      <c r="E559" s="3" t="s">
        <v>16</v>
      </c>
      <c r="F559" s="3">
        <f t="shared" si="73"/>
        <v>1</v>
      </c>
      <c r="G559" s="11" t="s">
        <v>38</v>
      </c>
      <c r="H559" s="3" t="s">
        <v>38</v>
      </c>
      <c r="I559" s="3">
        <f t="shared" si="68"/>
        <v>3</v>
      </c>
      <c r="J559" s="3" t="s">
        <v>39</v>
      </c>
      <c r="K559" s="3">
        <v>1</v>
      </c>
      <c r="L559" s="6" t="s">
        <v>270</v>
      </c>
      <c r="M559" s="3">
        <v>62</v>
      </c>
      <c r="N559" s="3">
        <f t="shared" si="69"/>
        <v>0.62</v>
      </c>
      <c r="O559" s="3">
        <v>93</v>
      </c>
      <c r="P559" s="3">
        <v>0.93</v>
      </c>
      <c r="Q559" s="17">
        <v>0.2328769841269841</v>
      </c>
      <c r="R559" s="21">
        <v>0.34009694510135102</v>
      </c>
      <c r="S559" s="3">
        <v>2</v>
      </c>
      <c r="T559" s="3">
        <v>72.739999999999995</v>
      </c>
      <c r="U559" s="3">
        <v>181.68</v>
      </c>
      <c r="V559" s="26">
        <v>0.19290039042467499</v>
      </c>
      <c r="W559" s="18">
        <v>-0.226501712402393</v>
      </c>
      <c r="X559" s="18">
        <v>-0.46910777640964701</v>
      </c>
      <c r="Y559" s="18">
        <v>-0.47099383387944399</v>
      </c>
      <c r="Z559" s="18">
        <v>-0.31379678320895299</v>
      </c>
      <c r="AA559" s="18">
        <v>-0.46429757022849599</v>
      </c>
      <c r="AB559" s="18">
        <v>-0.43456796078996801</v>
      </c>
      <c r="AC559" s="18">
        <v>2.39732817645276E-2</v>
      </c>
      <c r="AD559" s="18">
        <v>-1.4161129602118801E-2</v>
      </c>
      <c r="AE559" s="21">
        <v>-2.6892193772069799E-2</v>
      </c>
      <c r="AF559" s="3">
        <v>0.53984600000000005</v>
      </c>
      <c r="AG559" s="3">
        <v>0.239788</v>
      </c>
      <c r="AH559" s="3">
        <v>2.1086900000000002</v>
      </c>
      <c r="AI559" s="3">
        <v>20.2057</v>
      </c>
      <c r="AJ559" s="3">
        <v>0.100439</v>
      </c>
      <c r="AK559" s="3">
        <v>0.51992099999999997</v>
      </c>
      <c r="AL559" s="3">
        <v>0</v>
      </c>
      <c r="AM559" s="3">
        <v>0</v>
      </c>
      <c r="AN559" s="3">
        <v>-0.41566799999999998</v>
      </c>
      <c r="AO559" s="3">
        <v>18.046299999999999</v>
      </c>
      <c r="AP559" s="3">
        <v>9.0690499999999993E-2</v>
      </c>
      <c r="AQ559" s="3">
        <v>0.76291799999999999</v>
      </c>
      <c r="AR559" s="3">
        <v>1.917</v>
      </c>
      <c r="AS559" s="3">
        <v>0.113783</v>
      </c>
      <c r="AT559" s="3">
        <v>1.76667</v>
      </c>
      <c r="AU559" s="3">
        <v>0</v>
      </c>
      <c r="AV559" s="3">
        <v>3.6147800000000001E-2</v>
      </c>
      <c r="AW559" s="3">
        <v>-7.1474899999999994E-2</v>
      </c>
      <c r="AX559" s="3">
        <v>2.63313</v>
      </c>
      <c r="AY559" s="3">
        <v>0.18221300000000001</v>
      </c>
      <c r="AZ559" s="21">
        <v>2.8615499999999998</v>
      </c>
      <c r="BA559" s="3">
        <v>108.94</v>
      </c>
      <c r="BB559" s="3">
        <v>1</v>
      </c>
    </row>
    <row r="560" spans="1:54" ht="126" customHeight="1" x14ac:dyDescent="0.25">
      <c r="A560" s="2">
        <v>558</v>
      </c>
      <c r="B560" s="3">
        <v>15</v>
      </c>
      <c r="C560" s="2">
        <v>2</v>
      </c>
      <c r="D560" s="9">
        <v>66</v>
      </c>
      <c r="E560" s="3" t="s">
        <v>16</v>
      </c>
      <c r="F560" s="3">
        <f t="shared" si="73"/>
        <v>1</v>
      </c>
      <c r="G560" s="12"/>
      <c r="H560" s="3" t="s">
        <v>38</v>
      </c>
      <c r="I560" s="3">
        <f t="shared" si="68"/>
        <v>3</v>
      </c>
      <c r="J560" s="3" t="s">
        <v>40</v>
      </c>
      <c r="K560" s="3">
        <v>2</v>
      </c>
      <c r="L560" s="6" t="s">
        <v>192</v>
      </c>
      <c r="M560" s="3">
        <v>62</v>
      </c>
      <c r="N560" s="3">
        <f t="shared" si="69"/>
        <v>0.62</v>
      </c>
      <c r="O560" s="3">
        <v>93</v>
      </c>
      <c r="P560" s="3">
        <v>0.93</v>
      </c>
      <c r="Q560" s="17">
        <v>0.1008163265306122</v>
      </c>
      <c r="R560" s="21">
        <v>0.19854639259890211</v>
      </c>
      <c r="S560" s="3">
        <v>3</v>
      </c>
      <c r="T560" s="3">
        <v>181.68</v>
      </c>
      <c r="U560" s="3">
        <v>267.89</v>
      </c>
      <c r="V560" s="26">
        <v>-5.4529751818403298E-2</v>
      </c>
      <c r="W560" s="18">
        <v>-0.45066632399760997</v>
      </c>
      <c r="X560" s="18">
        <v>-1.0064939835159601</v>
      </c>
      <c r="Y560" s="18">
        <v>7.0043236264888994E-2</v>
      </c>
      <c r="Z560" s="18">
        <v>0.26258225829522902</v>
      </c>
      <c r="AA560" s="18">
        <v>0.319761307948073</v>
      </c>
      <c r="AB560" s="18">
        <v>0.38416184534409298</v>
      </c>
      <c r="AC560" s="18">
        <v>-0.93119587039892904</v>
      </c>
      <c r="AD560" s="18">
        <v>8.9864409102316606E-2</v>
      </c>
      <c r="AE560" s="21">
        <v>-0.71710924529322295</v>
      </c>
      <c r="AF560" s="3">
        <v>2.86775</v>
      </c>
      <c r="AG560" s="3">
        <v>0.136713</v>
      </c>
      <c r="AH560" s="3">
        <v>2.1333899999999999</v>
      </c>
      <c r="AI560" s="3">
        <v>15.2158</v>
      </c>
      <c r="AJ560" s="3">
        <v>0.37320300000000001</v>
      </c>
      <c r="AK560" s="3">
        <v>1.80626</v>
      </c>
      <c r="AL560" s="3">
        <v>3.2296999999999998</v>
      </c>
      <c r="AM560" s="3">
        <v>7.5935900000000001E-2</v>
      </c>
      <c r="AN560" s="3">
        <v>6.8170200000000003</v>
      </c>
      <c r="AO560" s="3">
        <v>25.336400000000001</v>
      </c>
      <c r="AP560" s="3">
        <v>0.31647500000000001</v>
      </c>
      <c r="AQ560" s="3">
        <v>1.2341599999999999</v>
      </c>
      <c r="AR560" s="3">
        <v>2.9373499999999999</v>
      </c>
      <c r="AS560" s="3">
        <v>0.10548100000000001</v>
      </c>
      <c r="AT560" s="3">
        <v>1.8546400000000001</v>
      </c>
      <c r="AU560" s="3">
        <v>0</v>
      </c>
      <c r="AV560" s="3">
        <v>0</v>
      </c>
      <c r="AW560" s="3">
        <v>-0.51719199999999999</v>
      </c>
      <c r="AX560" s="3">
        <v>8.5893300000000004</v>
      </c>
      <c r="AY560" s="3">
        <v>0.34764800000000001</v>
      </c>
      <c r="AZ560" s="21">
        <v>3.7881999999999998</v>
      </c>
      <c r="BA560" s="3">
        <v>86.21</v>
      </c>
      <c r="BB560" s="3">
        <v>2</v>
      </c>
    </row>
    <row r="561" spans="1:54" ht="157.5" customHeight="1" x14ac:dyDescent="0.25">
      <c r="A561" s="2">
        <v>559</v>
      </c>
      <c r="B561" s="3">
        <v>15</v>
      </c>
      <c r="C561" s="2">
        <v>2</v>
      </c>
      <c r="D561" s="9">
        <v>66</v>
      </c>
      <c r="E561" s="3" t="s">
        <v>16</v>
      </c>
      <c r="F561" s="3">
        <f>IF(E562="Happy", 1,2)</f>
        <v>1</v>
      </c>
      <c r="G561" s="12"/>
      <c r="H561" s="3" t="s">
        <v>38</v>
      </c>
      <c r="I561" s="3">
        <f t="shared" si="68"/>
        <v>3</v>
      </c>
      <c r="J561" s="3" t="s">
        <v>41</v>
      </c>
      <c r="K561" s="3">
        <v>3</v>
      </c>
      <c r="L561" s="6" t="s">
        <v>285</v>
      </c>
      <c r="M561" s="3">
        <v>62</v>
      </c>
      <c r="N561" s="3">
        <f t="shared" si="69"/>
        <v>0.62</v>
      </c>
      <c r="O561" s="3">
        <v>93</v>
      </c>
      <c r="P561" s="3">
        <v>0.93</v>
      </c>
      <c r="Q561" s="17">
        <v>5.3999999999999992E-2</v>
      </c>
      <c r="R561" s="21">
        <v>0.387103201858224</v>
      </c>
      <c r="S561" s="3">
        <v>4</v>
      </c>
      <c r="T561" s="3">
        <v>267.89</v>
      </c>
      <c r="U561" s="3">
        <v>431.15</v>
      </c>
      <c r="V561" s="26">
        <v>-0.25990940307487898</v>
      </c>
      <c r="W561" s="18">
        <v>-0.71572930069515095</v>
      </c>
      <c r="X561" s="18">
        <v>-1.1836442792548301</v>
      </c>
      <c r="Y561" s="18">
        <v>-0.293123291594171</v>
      </c>
      <c r="Z561" s="18">
        <v>-2.3163385242395699E-2</v>
      </c>
      <c r="AA561" s="18">
        <v>9.3631734536726505E-2</v>
      </c>
      <c r="AB561" s="18">
        <v>-5.8596908352644798E-2</v>
      </c>
      <c r="AC561" s="18">
        <v>-0.28329365073638102</v>
      </c>
      <c r="AD561" s="18">
        <v>1.0498733950679999</v>
      </c>
      <c r="AE561" s="21">
        <v>-0.62129087814087502</v>
      </c>
      <c r="AF561" s="3">
        <v>0.61081799999999997</v>
      </c>
      <c r="AG561" s="3">
        <v>0.18334800000000001</v>
      </c>
      <c r="AH561" s="3">
        <v>2.1971400000000001</v>
      </c>
      <c r="AI561" s="3">
        <v>19.3401</v>
      </c>
      <c r="AJ561" s="3">
        <v>0.15915000000000001</v>
      </c>
      <c r="AK561" s="3">
        <v>0.58976200000000001</v>
      </c>
      <c r="AL561" s="3">
        <v>0</v>
      </c>
      <c r="AM561" s="3">
        <v>0.27901199999999998</v>
      </c>
      <c r="AN561" s="3">
        <v>3.3186100000000001</v>
      </c>
      <c r="AO561" s="3">
        <v>21.842300000000002</v>
      </c>
      <c r="AP561" s="3">
        <v>0.15979399999999999</v>
      </c>
      <c r="AQ561" s="3">
        <v>1.01224</v>
      </c>
      <c r="AR561" s="3">
        <v>4.8791900000000004</v>
      </c>
      <c r="AS561" s="3">
        <v>0.193384</v>
      </c>
      <c r="AT561" s="3">
        <v>1.9523200000000001</v>
      </c>
      <c r="AU561" s="3">
        <v>0</v>
      </c>
      <c r="AV561" s="3">
        <v>0.21760699999999999</v>
      </c>
      <c r="AW561" s="3">
        <v>1.6506700000000001</v>
      </c>
      <c r="AX561" s="3">
        <v>1.90605</v>
      </c>
      <c r="AY561" s="3">
        <v>0.150673</v>
      </c>
      <c r="AZ561" s="21">
        <v>2.6301600000000001</v>
      </c>
      <c r="BA561" s="3">
        <v>163.089</v>
      </c>
      <c r="BB561" s="3">
        <v>3</v>
      </c>
    </row>
    <row r="562" spans="1:54" ht="78.75" customHeight="1" x14ac:dyDescent="0.25">
      <c r="A562" s="2">
        <v>560</v>
      </c>
      <c r="B562" s="3">
        <v>15</v>
      </c>
      <c r="C562" s="2">
        <v>2</v>
      </c>
      <c r="D562" s="9">
        <v>66</v>
      </c>
      <c r="E562" s="3" t="s">
        <v>16</v>
      </c>
      <c r="F562" s="3">
        <f>IF(E563="Happy", 1,2)</f>
        <v>1</v>
      </c>
      <c r="G562" s="12"/>
      <c r="H562" s="3" t="s">
        <v>38</v>
      </c>
      <c r="I562" s="3">
        <f t="shared" si="68"/>
        <v>3</v>
      </c>
      <c r="J562" s="3" t="s">
        <v>42</v>
      </c>
      <c r="K562" s="3">
        <v>4</v>
      </c>
      <c r="L562" s="6" t="s">
        <v>224</v>
      </c>
      <c r="M562" s="3">
        <v>62</v>
      </c>
      <c r="N562" s="3">
        <f t="shared" si="69"/>
        <v>0.62</v>
      </c>
      <c r="O562" s="3">
        <v>93</v>
      </c>
      <c r="P562" s="3">
        <v>0.93</v>
      </c>
      <c r="Q562" s="17">
        <v>0.19041666666666671</v>
      </c>
      <c r="R562" s="21">
        <v>0.41960464196140113</v>
      </c>
      <c r="S562" s="3">
        <v>5</v>
      </c>
      <c r="T562" s="3">
        <v>431.15</v>
      </c>
      <c r="U562" s="3">
        <v>480.36</v>
      </c>
      <c r="V562" s="26">
        <v>0.75309233901877903</v>
      </c>
      <c r="W562" s="18">
        <v>-0.95154597266182295</v>
      </c>
      <c r="X562" s="18">
        <v>-0.39894242087318399</v>
      </c>
      <c r="Y562" s="18">
        <v>-0.19109429984353701</v>
      </c>
      <c r="Z562" s="18">
        <v>1.0698137012890201</v>
      </c>
      <c r="AA562" s="18">
        <v>0.89914416529773999</v>
      </c>
      <c r="AB562" s="18">
        <v>-0.279617762264804</v>
      </c>
      <c r="AC562" s="18">
        <v>-1.91451957180738</v>
      </c>
      <c r="AD562" s="18">
        <v>-0.39174501190209798</v>
      </c>
      <c r="AE562" s="21">
        <v>-0.43290222407863099</v>
      </c>
      <c r="AF562" s="3">
        <v>10.8581</v>
      </c>
      <c r="AG562" s="3">
        <v>0.369446</v>
      </c>
      <c r="AH562" s="3">
        <v>2.6389800000000001</v>
      </c>
      <c r="AI562" s="3">
        <v>35.380200000000002</v>
      </c>
      <c r="AJ562" s="3">
        <v>0.22822500000000001</v>
      </c>
      <c r="AK562" s="3">
        <v>1.05548</v>
      </c>
      <c r="AL562" s="3">
        <v>0</v>
      </c>
      <c r="AM562" s="3">
        <v>0.11756999999999999</v>
      </c>
      <c r="AN562" s="3">
        <v>0.51573800000000003</v>
      </c>
      <c r="AO562" s="3">
        <v>40.284700000000001</v>
      </c>
      <c r="AP562" s="3">
        <v>0.37931999999999999</v>
      </c>
      <c r="AQ562" s="3">
        <v>1.7665299999999999</v>
      </c>
      <c r="AR562" s="3">
        <v>24.180599999999998</v>
      </c>
      <c r="AS562" s="3">
        <v>0.17312</v>
      </c>
      <c r="AT562" s="3">
        <v>2.4039299999999999</v>
      </c>
      <c r="AU562" s="3">
        <v>0</v>
      </c>
      <c r="AV562" s="3">
        <v>0.29674400000000001</v>
      </c>
      <c r="AW562" s="3">
        <v>0.87070000000000003</v>
      </c>
      <c r="AX562" s="3">
        <v>0</v>
      </c>
      <c r="AY562" s="3">
        <v>0.57261600000000001</v>
      </c>
      <c r="AZ562" s="21">
        <v>0.45699899999999999</v>
      </c>
      <c r="BA562" s="3">
        <v>49.21</v>
      </c>
      <c r="BB562" s="3">
        <v>4</v>
      </c>
    </row>
    <row r="563" spans="1:54" ht="110.25" customHeight="1" x14ac:dyDescent="0.25">
      <c r="A563" s="2">
        <v>561</v>
      </c>
      <c r="B563" s="3">
        <v>15</v>
      </c>
      <c r="C563" s="2">
        <v>2</v>
      </c>
      <c r="D563" s="9">
        <v>66</v>
      </c>
      <c r="E563" s="3" t="s">
        <v>16</v>
      </c>
      <c r="F563" s="3">
        <f t="shared" ref="F563:F570" si="74">IF(E563="Happy", 1,2)</f>
        <v>1</v>
      </c>
      <c r="G563" s="12"/>
      <c r="H563" s="3" t="s">
        <v>38</v>
      </c>
      <c r="I563" s="3">
        <f t="shared" si="68"/>
        <v>3</v>
      </c>
      <c r="J563" s="3" t="s">
        <v>43</v>
      </c>
      <c r="K563" s="3">
        <v>5</v>
      </c>
      <c r="L563" s="6" t="s">
        <v>261</v>
      </c>
      <c r="M563" s="3">
        <v>62</v>
      </c>
      <c r="N563" s="3">
        <f t="shared" si="69"/>
        <v>0.62</v>
      </c>
      <c r="O563" s="3">
        <v>93</v>
      </c>
      <c r="P563" s="3">
        <v>0.93</v>
      </c>
      <c r="Q563" s="17">
        <v>0.26851851851851849</v>
      </c>
      <c r="R563" s="21">
        <v>0.25514762127438168</v>
      </c>
      <c r="S563" s="3">
        <v>6</v>
      </c>
      <c r="T563" s="3">
        <v>480.36</v>
      </c>
      <c r="U563" s="3">
        <v>550.30999999999995</v>
      </c>
      <c r="V563" s="26">
        <v>0.96728944454711996</v>
      </c>
      <c r="W563" s="18">
        <v>0.58504656373116004</v>
      </c>
      <c r="X563" s="18">
        <v>0.76885574313695804</v>
      </c>
      <c r="Y563" s="18">
        <v>-0.483747457848273</v>
      </c>
      <c r="Z563" s="18">
        <v>0.13061288871403701</v>
      </c>
      <c r="AA563" s="18">
        <v>0.14032744580031301</v>
      </c>
      <c r="AB563" s="18">
        <v>0.81298942209101399</v>
      </c>
      <c r="AC563" s="18">
        <v>0.31907466829537801</v>
      </c>
      <c r="AD563" s="18">
        <v>0.238303874281316</v>
      </c>
      <c r="AE563" s="21">
        <v>-0.55470523317059905</v>
      </c>
      <c r="AF563" s="3">
        <v>17.088899999999999</v>
      </c>
      <c r="AG563" s="3">
        <v>8.0911499999999997E-2</v>
      </c>
      <c r="AH563" s="3">
        <v>2.3660800000000002</v>
      </c>
      <c r="AI563" s="3">
        <v>29.270800000000001</v>
      </c>
      <c r="AJ563" s="3">
        <v>0.210114</v>
      </c>
      <c r="AK563" s="3">
        <v>1.4999400000000001</v>
      </c>
      <c r="AL563" s="3">
        <v>0</v>
      </c>
      <c r="AM563" s="3">
        <v>1.1095600000000001E-2</v>
      </c>
      <c r="AN563" s="3">
        <v>-0.404723</v>
      </c>
      <c r="AO563" s="3">
        <v>29.785499999999999</v>
      </c>
      <c r="AP563" s="3">
        <v>3.2403700000000001E-2</v>
      </c>
      <c r="AQ563" s="3">
        <v>0.41103400000000001</v>
      </c>
      <c r="AR563" s="3">
        <v>1.33829</v>
      </c>
      <c r="AS563" s="3">
        <v>2.8861899999999999E-2</v>
      </c>
      <c r="AT563" s="3">
        <v>1.60009</v>
      </c>
      <c r="AU563" s="3">
        <v>0</v>
      </c>
      <c r="AV563" s="3">
        <v>9.8159499999999997E-2</v>
      </c>
      <c r="AW563" s="3">
        <v>0.65281599999999995</v>
      </c>
      <c r="AX563" s="3">
        <v>0.29167900000000002</v>
      </c>
      <c r="AY563" s="3">
        <v>0.232241</v>
      </c>
      <c r="AZ563" s="21">
        <v>2.8149899999999999</v>
      </c>
      <c r="BA563" s="3">
        <v>69.95</v>
      </c>
      <c r="BB563" s="3">
        <v>5</v>
      </c>
    </row>
    <row r="564" spans="1:54" ht="110.25" customHeight="1" x14ac:dyDescent="0.25">
      <c r="A564" s="2">
        <v>562</v>
      </c>
      <c r="B564" s="3">
        <v>15</v>
      </c>
      <c r="C564" s="2">
        <v>2</v>
      </c>
      <c r="D564" s="9">
        <v>66</v>
      </c>
      <c r="E564" s="3" t="s">
        <v>16</v>
      </c>
      <c r="F564" s="3">
        <f t="shared" si="74"/>
        <v>1</v>
      </c>
      <c r="G564" s="12"/>
      <c r="H564" s="3" t="s">
        <v>38</v>
      </c>
      <c r="I564" s="3">
        <f t="shared" si="68"/>
        <v>3</v>
      </c>
      <c r="J564" s="3" t="s">
        <v>44</v>
      </c>
      <c r="K564" s="3">
        <v>6</v>
      </c>
      <c r="L564" s="6" t="s">
        <v>225</v>
      </c>
      <c r="M564" s="3">
        <v>62</v>
      </c>
      <c r="N564" s="3">
        <f t="shared" si="69"/>
        <v>0.62</v>
      </c>
      <c r="O564" s="3">
        <v>93</v>
      </c>
      <c r="P564" s="3">
        <v>0.93</v>
      </c>
      <c r="Q564" s="17">
        <v>0.49555555555555553</v>
      </c>
      <c r="R564" s="21">
        <v>0.14189850311115049</v>
      </c>
      <c r="S564" s="3">
        <v>7</v>
      </c>
      <c r="T564" s="3">
        <v>550.30999999999995</v>
      </c>
      <c r="U564" s="3">
        <v>616.14</v>
      </c>
      <c r="V564" s="26">
        <v>0.89284383282190605</v>
      </c>
      <c r="W564" s="18">
        <v>0.394456514339525</v>
      </c>
      <c r="X564" s="18">
        <v>0.60365778218498001</v>
      </c>
      <c r="Y564" s="18">
        <v>2.45269693894666E-2</v>
      </c>
      <c r="Z564" s="18">
        <v>-0.61357905485018205</v>
      </c>
      <c r="AA564" s="18">
        <v>-0.85539126925724795</v>
      </c>
      <c r="AB564" s="18">
        <v>0.45504695158874597</v>
      </c>
      <c r="AC564" s="18">
        <v>1.31456391567389</v>
      </c>
      <c r="AD564" s="18">
        <v>0.86737015147192897</v>
      </c>
      <c r="AE564" s="21">
        <v>-0.68625248298992403</v>
      </c>
      <c r="AF564" s="3">
        <v>0</v>
      </c>
      <c r="AG564" s="3">
        <v>0.258274</v>
      </c>
      <c r="AH564" s="3">
        <v>-0.37012299999999998</v>
      </c>
      <c r="AI564" s="3">
        <v>34.376899999999999</v>
      </c>
      <c r="AJ564" s="3">
        <v>0.23489599999999999</v>
      </c>
      <c r="AK564" s="3">
        <v>1.50986</v>
      </c>
      <c r="AL564" s="3">
        <v>0</v>
      </c>
      <c r="AM564" s="3">
        <v>5.25587E-2</v>
      </c>
      <c r="AN564" s="3">
        <v>-0.28558499999999998</v>
      </c>
      <c r="AO564" s="3">
        <v>15.848000000000001</v>
      </c>
      <c r="AP564" s="3">
        <v>0.159632</v>
      </c>
      <c r="AQ564" s="3">
        <v>1.00732</v>
      </c>
      <c r="AR564" s="3">
        <v>0.51063800000000004</v>
      </c>
      <c r="AS564" s="3">
        <v>6.4860500000000001E-2</v>
      </c>
      <c r="AT564" s="3">
        <v>1.6840599999999999</v>
      </c>
      <c r="AU564" s="3">
        <v>0</v>
      </c>
      <c r="AV564" s="3">
        <v>0.112844</v>
      </c>
      <c r="AW564" s="3">
        <v>0.47821000000000002</v>
      </c>
      <c r="AX564" s="3">
        <v>0.89361699999999999</v>
      </c>
      <c r="AY564" s="3">
        <v>0.20821100000000001</v>
      </c>
      <c r="AZ564" s="21">
        <v>2.8026300000000002</v>
      </c>
      <c r="BA564" s="3">
        <v>65.83</v>
      </c>
      <c r="BB564" s="3">
        <v>6</v>
      </c>
    </row>
    <row r="565" spans="1:54" ht="236.25" customHeight="1" x14ac:dyDescent="0.25">
      <c r="A565" s="2">
        <v>563</v>
      </c>
      <c r="B565" s="3">
        <v>15</v>
      </c>
      <c r="C565" s="2">
        <v>2</v>
      </c>
      <c r="D565" s="9">
        <v>66</v>
      </c>
      <c r="E565" s="3" t="s">
        <v>16</v>
      </c>
      <c r="F565" s="3">
        <f t="shared" si="74"/>
        <v>1</v>
      </c>
      <c r="G565" s="12"/>
      <c r="H565" s="3" t="s">
        <v>38</v>
      </c>
      <c r="I565" s="3">
        <f t="shared" si="68"/>
        <v>3</v>
      </c>
      <c r="J565" s="3" t="s">
        <v>45</v>
      </c>
      <c r="K565" s="3">
        <v>7</v>
      </c>
      <c r="L565" s="6" t="s">
        <v>286</v>
      </c>
      <c r="M565" s="3">
        <v>62</v>
      </c>
      <c r="N565" s="3">
        <f t="shared" si="69"/>
        <v>0.62</v>
      </c>
      <c r="O565" s="3">
        <v>93</v>
      </c>
      <c r="P565" s="3">
        <v>0.93</v>
      </c>
      <c r="Q565" s="17">
        <v>7.7392857142857138E-2</v>
      </c>
      <c r="R565" s="21">
        <v>0.17565869111804891</v>
      </c>
      <c r="S565" s="3">
        <v>8</v>
      </c>
      <c r="T565" s="3">
        <v>616.14</v>
      </c>
      <c r="U565" s="3">
        <v>746.54</v>
      </c>
      <c r="V565" s="26">
        <v>0.520332171865448</v>
      </c>
      <c r="W565" s="18">
        <v>0.36322948161266799</v>
      </c>
      <c r="X565" s="18">
        <v>0.68594241448009596</v>
      </c>
      <c r="Y565" s="18">
        <v>4.8957244636425402E-2</v>
      </c>
      <c r="Z565" s="18">
        <v>-0.39914449516032202</v>
      </c>
      <c r="AA565" s="18">
        <v>-8.5619544184785207E-2</v>
      </c>
      <c r="AB565" s="18">
        <v>-0.88856043315457101</v>
      </c>
      <c r="AC565" s="18">
        <v>-0.66007798878048096</v>
      </c>
      <c r="AD565" s="18">
        <v>1.8265275429771799</v>
      </c>
      <c r="AE565" s="21">
        <v>-1.6655486760893501</v>
      </c>
      <c r="AF565" s="3">
        <v>12.6645</v>
      </c>
      <c r="AG565" s="3">
        <v>0.44808100000000001</v>
      </c>
      <c r="AH565" s="3">
        <v>3.4628899999999998</v>
      </c>
      <c r="AI565" s="3">
        <v>30.832899999999999</v>
      </c>
      <c r="AJ565" s="3">
        <v>0.19004599999999999</v>
      </c>
      <c r="AK565" s="3">
        <v>0.61963999999999997</v>
      </c>
      <c r="AL565" s="3">
        <v>0</v>
      </c>
      <c r="AM565" s="3">
        <v>7.1935100000000002E-2</v>
      </c>
      <c r="AN565" s="3">
        <v>-0.24037</v>
      </c>
      <c r="AO565" s="3">
        <v>27.7865</v>
      </c>
      <c r="AP565" s="3">
        <v>0.16486400000000001</v>
      </c>
      <c r="AQ565" s="3">
        <v>0.89352900000000002</v>
      </c>
      <c r="AR565" s="3">
        <v>12.8118</v>
      </c>
      <c r="AS565" s="3">
        <v>0.32719999999999999</v>
      </c>
      <c r="AT565" s="3">
        <v>2.7023299999999999</v>
      </c>
      <c r="AU565" s="3">
        <v>0.45098899999999997</v>
      </c>
      <c r="AV565" s="3">
        <v>0.21757000000000001</v>
      </c>
      <c r="AW565" s="3">
        <v>8.0141200000000001</v>
      </c>
      <c r="AX565" s="3">
        <v>1.4910300000000001</v>
      </c>
      <c r="AY565" s="3">
        <v>0.44118000000000002</v>
      </c>
      <c r="AZ565" s="21">
        <v>3.4851399999999999</v>
      </c>
      <c r="BA565" s="3">
        <v>130.4</v>
      </c>
      <c r="BB565" s="3">
        <v>7</v>
      </c>
    </row>
    <row r="566" spans="1:54" ht="78.75" customHeight="1" x14ac:dyDescent="0.25">
      <c r="A566" s="2">
        <v>564</v>
      </c>
      <c r="B566" s="3">
        <v>15</v>
      </c>
      <c r="C566" s="2">
        <v>2</v>
      </c>
      <c r="D566" s="9">
        <v>66</v>
      </c>
      <c r="E566" s="3" t="s">
        <v>53</v>
      </c>
      <c r="F566" s="3">
        <f t="shared" si="74"/>
        <v>2</v>
      </c>
      <c r="G566" s="11" t="s">
        <v>54</v>
      </c>
      <c r="H566" s="3" t="s">
        <v>54</v>
      </c>
      <c r="I566" s="3">
        <f t="shared" si="68"/>
        <v>1</v>
      </c>
      <c r="J566" s="3" t="s">
        <v>55</v>
      </c>
      <c r="K566" s="3">
        <v>1</v>
      </c>
      <c r="L566" s="6" t="s">
        <v>241</v>
      </c>
      <c r="M566" s="3">
        <v>-100</v>
      </c>
      <c r="N566" s="3">
        <f t="shared" si="69"/>
        <v>-1</v>
      </c>
      <c r="O566" s="3">
        <v>23</v>
      </c>
      <c r="P566" s="3">
        <v>0.23</v>
      </c>
      <c r="Q566" s="17">
        <v>-9.4249999999999973E-2</v>
      </c>
      <c r="R566" s="21">
        <v>0.42468684541278962</v>
      </c>
      <c r="S566" s="3">
        <v>2</v>
      </c>
      <c r="T566" s="3">
        <v>44.35</v>
      </c>
      <c r="U566" s="3">
        <v>108.81</v>
      </c>
      <c r="V566" s="26">
        <v>-0.81707196313990305</v>
      </c>
      <c r="W566" s="18">
        <v>-2.6286479296096399</v>
      </c>
      <c r="X566" s="18">
        <v>-1.80585476780117</v>
      </c>
      <c r="Y566" s="18">
        <v>-1.47229502236553</v>
      </c>
      <c r="Z566" s="18">
        <v>2.04962047373514</v>
      </c>
      <c r="AA566" s="18">
        <v>1.372217822713</v>
      </c>
      <c r="AB566" s="18">
        <v>1.74518320127468</v>
      </c>
      <c r="AC566" s="18">
        <v>-2.3559550970066501</v>
      </c>
      <c r="AD566" s="18">
        <v>-0.38316356003164398</v>
      </c>
      <c r="AE566" s="21">
        <v>0.61135557386984396</v>
      </c>
      <c r="AF566" s="3">
        <v>0</v>
      </c>
      <c r="AG566" s="3">
        <v>0.19986300000000001</v>
      </c>
      <c r="AH566" s="3">
        <v>-0.55497700000000005</v>
      </c>
      <c r="AI566" s="3">
        <v>29.4041</v>
      </c>
      <c r="AJ566" s="3">
        <v>0.34101199999999998</v>
      </c>
      <c r="AK566" s="3">
        <v>0.46907799999999999</v>
      </c>
      <c r="AL566" s="3">
        <v>0</v>
      </c>
      <c r="AM566" s="3">
        <v>5.83095E-2</v>
      </c>
      <c r="AN566" s="3">
        <v>0.186559</v>
      </c>
      <c r="AO566" s="3">
        <v>4.3016800000000002</v>
      </c>
      <c r="AP566" s="3">
        <v>3.70896E-2</v>
      </c>
      <c r="AQ566" s="3">
        <v>0.39315699999999998</v>
      </c>
      <c r="AR566" s="3">
        <v>0</v>
      </c>
      <c r="AS566" s="3">
        <v>5.5458500000000001E-2</v>
      </c>
      <c r="AT566" s="3">
        <v>-0.51764600000000005</v>
      </c>
      <c r="AU566" s="3">
        <v>0</v>
      </c>
      <c r="AV566" s="3">
        <v>0</v>
      </c>
      <c r="AW566" s="3">
        <v>-0.398675</v>
      </c>
      <c r="AX566" s="3">
        <v>0</v>
      </c>
      <c r="AY566" s="3">
        <v>0.192996</v>
      </c>
      <c r="AZ566" s="21">
        <v>0.27063300000000001</v>
      </c>
      <c r="BA566" s="3">
        <v>64.459999999999994</v>
      </c>
      <c r="BB566" s="3">
        <v>1</v>
      </c>
    </row>
    <row r="567" spans="1:54" ht="94.5" customHeight="1" x14ac:dyDescent="0.25">
      <c r="A567" s="2">
        <v>565</v>
      </c>
      <c r="B567" s="3">
        <v>15</v>
      </c>
      <c r="C567" s="2">
        <v>2</v>
      </c>
      <c r="D567" s="9">
        <v>66</v>
      </c>
      <c r="E567" s="3" t="s">
        <v>53</v>
      </c>
      <c r="F567" s="3">
        <f t="shared" si="74"/>
        <v>2</v>
      </c>
      <c r="G567" s="12"/>
      <c r="H567" s="3" t="s">
        <v>54</v>
      </c>
      <c r="I567" s="3">
        <f t="shared" si="68"/>
        <v>1</v>
      </c>
      <c r="J567" s="3" t="s">
        <v>56</v>
      </c>
      <c r="K567" s="3">
        <v>2</v>
      </c>
      <c r="L567" s="6" t="s">
        <v>190</v>
      </c>
      <c r="M567" s="3">
        <v>-100</v>
      </c>
      <c r="N567" s="3">
        <f t="shared" si="69"/>
        <v>-1</v>
      </c>
      <c r="O567" s="3">
        <v>23</v>
      </c>
      <c r="P567" s="3">
        <v>0.23</v>
      </c>
      <c r="Q567" s="17">
        <v>9.2976190476190476E-2</v>
      </c>
      <c r="R567" s="21">
        <v>0.16641721695263839</v>
      </c>
      <c r="S567" s="3">
        <v>3</v>
      </c>
      <c r="T567" s="3">
        <v>108.81</v>
      </c>
      <c r="U567" s="3">
        <v>151.41</v>
      </c>
      <c r="V567" s="26">
        <v>-0.40657048092730702</v>
      </c>
      <c r="W567" s="18">
        <v>1.1603013259730801</v>
      </c>
      <c r="X567" s="18">
        <v>2.1938556990161299E-4</v>
      </c>
      <c r="Y567" s="18">
        <v>0.203531167138636</v>
      </c>
      <c r="Z567" s="18">
        <v>1.6816602941621299</v>
      </c>
      <c r="AA567" s="18">
        <v>1.98232034152933</v>
      </c>
      <c r="AB567" s="18">
        <v>0.64602016894247904</v>
      </c>
      <c r="AC567" s="18">
        <v>-1.1658171141072</v>
      </c>
      <c r="AD567" s="18">
        <v>-0.88704545153952596</v>
      </c>
      <c r="AE567" s="21">
        <v>-0.50598402953381105</v>
      </c>
      <c r="AF567" s="3">
        <v>2.1700300000000001</v>
      </c>
      <c r="AG567" s="3">
        <v>0.18873799999999999</v>
      </c>
      <c r="AH567" s="3">
        <v>2.0140199999999999</v>
      </c>
      <c r="AI567" s="3">
        <v>31.479600000000001</v>
      </c>
      <c r="AJ567" s="3">
        <v>0.29469699999999999</v>
      </c>
      <c r="AK567" s="3">
        <v>0.30358600000000002</v>
      </c>
      <c r="AL567" s="3">
        <v>0</v>
      </c>
      <c r="AM567" s="3">
        <v>0.22011700000000001</v>
      </c>
      <c r="AN567" s="3">
        <v>3.1222900000000001E-2</v>
      </c>
      <c r="AO567" s="3">
        <v>26.1813</v>
      </c>
      <c r="AP567" s="3">
        <v>0.15357999999999999</v>
      </c>
      <c r="AQ567" s="3">
        <v>1.3888199999999999</v>
      </c>
      <c r="AR567" s="3">
        <v>0</v>
      </c>
      <c r="AS567" s="3">
        <v>0.21756400000000001</v>
      </c>
      <c r="AT567" s="3">
        <v>1.90612</v>
      </c>
      <c r="AU567" s="3">
        <v>0</v>
      </c>
      <c r="AV567" s="3">
        <v>0.28953600000000002</v>
      </c>
      <c r="AW567" s="3">
        <v>2.2502</v>
      </c>
      <c r="AX567" s="3">
        <v>0.19727600000000001</v>
      </c>
      <c r="AY567" s="3">
        <v>9.86094E-2</v>
      </c>
      <c r="AZ567" s="21">
        <v>2.7273900000000002</v>
      </c>
      <c r="BA567" s="3">
        <v>42.6</v>
      </c>
      <c r="BB567" s="3">
        <v>2</v>
      </c>
    </row>
    <row r="568" spans="1:54" ht="189" customHeight="1" x14ac:dyDescent="0.25">
      <c r="A568" s="2">
        <v>566</v>
      </c>
      <c r="B568" s="3">
        <v>15</v>
      </c>
      <c r="C568" s="2">
        <v>2</v>
      </c>
      <c r="D568" s="9">
        <v>66</v>
      </c>
      <c r="E568" s="3" t="s">
        <v>53</v>
      </c>
      <c r="F568" s="3">
        <f t="shared" si="74"/>
        <v>2</v>
      </c>
      <c r="G568" s="12"/>
      <c r="H568" s="3" t="s">
        <v>54</v>
      </c>
      <c r="I568" s="3">
        <f t="shared" si="68"/>
        <v>1</v>
      </c>
      <c r="J568" s="3" t="s">
        <v>57</v>
      </c>
      <c r="K568" s="3">
        <v>3</v>
      </c>
      <c r="L568" s="6" t="s">
        <v>287</v>
      </c>
      <c r="M568" s="3">
        <v>-100</v>
      </c>
      <c r="N568" s="3">
        <f t="shared" si="69"/>
        <v>-1</v>
      </c>
      <c r="O568" s="3">
        <v>23</v>
      </c>
      <c r="P568" s="3">
        <v>0.23</v>
      </c>
      <c r="Q568" s="17">
        <v>4.3036111111111122E-2</v>
      </c>
      <c r="R568" s="21">
        <v>0.27040915632073181</v>
      </c>
      <c r="S568" s="3">
        <v>4</v>
      </c>
      <c r="T568" s="3">
        <v>151.41</v>
      </c>
      <c r="U568" s="3">
        <v>348.49</v>
      </c>
      <c r="V568" s="26">
        <v>0.17058604342963599</v>
      </c>
      <c r="W568" s="18">
        <v>0.50906975035422797</v>
      </c>
      <c r="X568" s="18">
        <v>0.36565180980309198</v>
      </c>
      <c r="Y568" s="18">
        <v>9.06757657077953E-2</v>
      </c>
      <c r="Z568" s="18">
        <v>1.98332247135295</v>
      </c>
      <c r="AA568" s="18">
        <v>1.95698689113706</v>
      </c>
      <c r="AB568" s="18">
        <v>1.26752821512032</v>
      </c>
      <c r="AC568" s="18">
        <v>-1.2541042191470599</v>
      </c>
      <c r="AD568" s="18">
        <v>0.93720089722692201</v>
      </c>
      <c r="AE568" s="21">
        <v>-0.27049821195600599</v>
      </c>
      <c r="AF568" s="3">
        <v>17.988399999999999</v>
      </c>
      <c r="AG568" s="3">
        <v>0.10992399999999999</v>
      </c>
      <c r="AH568" s="3">
        <v>1.9455499999999999</v>
      </c>
      <c r="AI568" s="3">
        <v>56.206200000000003</v>
      </c>
      <c r="AJ568" s="3">
        <v>0.37071399999999999</v>
      </c>
      <c r="AK568" s="3">
        <v>0.50779399999999997</v>
      </c>
      <c r="AL568" s="3">
        <v>13.1899</v>
      </c>
      <c r="AM568" s="3">
        <v>8.4205799999999997E-2</v>
      </c>
      <c r="AN568" s="3">
        <v>2.5827900000000001</v>
      </c>
      <c r="AO568" s="3">
        <v>32.006500000000003</v>
      </c>
      <c r="AP568" s="3">
        <v>0.10574600000000001</v>
      </c>
      <c r="AQ568" s="3">
        <v>0.47175099999999998</v>
      </c>
      <c r="AR568" s="3">
        <v>0.103522</v>
      </c>
      <c r="AS568" s="3">
        <v>4.9156499999999999E-2</v>
      </c>
      <c r="AT568" s="3">
        <v>4.0538999999999996</v>
      </c>
      <c r="AU568" s="3">
        <v>0.29229699999999997</v>
      </c>
      <c r="AV568" s="3">
        <v>0.118635</v>
      </c>
      <c r="AW568" s="3">
        <v>7.9274699999999996</v>
      </c>
      <c r="AX568" s="3">
        <v>5.1821799999999998</v>
      </c>
      <c r="AY568" s="3">
        <v>0.223774</v>
      </c>
      <c r="AZ568" s="21">
        <v>3.4775900000000002</v>
      </c>
      <c r="BA568" s="3">
        <v>197.08</v>
      </c>
      <c r="BB568" s="3">
        <v>3</v>
      </c>
    </row>
    <row r="569" spans="1:54" ht="47.25" customHeight="1" x14ac:dyDescent="0.25">
      <c r="A569" s="2">
        <v>567</v>
      </c>
      <c r="B569" s="3">
        <v>15</v>
      </c>
      <c r="C569" s="2">
        <v>2</v>
      </c>
      <c r="D569" s="9">
        <v>66</v>
      </c>
      <c r="E569" s="3" t="s">
        <v>53</v>
      </c>
      <c r="F569" s="3">
        <f t="shared" si="74"/>
        <v>2</v>
      </c>
      <c r="G569" s="12"/>
      <c r="H569" s="3" t="s">
        <v>54</v>
      </c>
      <c r="I569" s="3">
        <f t="shared" si="68"/>
        <v>1</v>
      </c>
      <c r="J569" s="3" t="s">
        <v>58</v>
      </c>
      <c r="K569" s="3">
        <v>4</v>
      </c>
      <c r="L569" s="6" t="s">
        <v>208</v>
      </c>
      <c r="M569" s="3">
        <v>-100</v>
      </c>
      <c r="N569" s="3">
        <f t="shared" si="69"/>
        <v>-1</v>
      </c>
      <c r="O569" s="3">
        <v>23</v>
      </c>
      <c r="P569" s="3">
        <v>0.23</v>
      </c>
      <c r="Q569" s="17">
        <v>0</v>
      </c>
      <c r="R569" s="21">
        <v>0</v>
      </c>
      <c r="S569" s="3">
        <v>5</v>
      </c>
      <c r="T569" s="3">
        <v>348.49</v>
      </c>
      <c r="U569" s="3">
        <v>402.32</v>
      </c>
      <c r="V569" s="26">
        <v>-1.42177658658893</v>
      </c>
      <c r="W569" s="18">
        <v>-0.42618843851633798</v>
      </c>
      <c r="X569" s="18">
        <v>0.51525312824415603</v>
      </c>
      <c r="Y569" s="18">
        <v>-1.5881546107756901</v>
      </c>
      <c r="Z569" s="18">
        <v>0.88771351705210499</v>
      </c>
      <c r="AA569" s="18">
        <v>0.21199144060366601</v>
      </c>
      <c r="AB569" s="18">
        <v>0.778776090464259</v>
      </c>
      <c r="AC569" s="18">
        <v>-1.2408959120938501</v>
      </c>
      <c r="AD569" s="18">
        <v>4.0822047468490599</v>
      </c>
      <c r="AE569" s="21">
        <v>-1.2059453217823199</v>
      </c>
      <c r="AF569" s="3">
        <v>0</v>
      </c>
      <c r="AG569" s="3">
        <v>0.27333499999999999</v>
      </c>
      <c r="AH569" s="3">
        <v>-0.51664299999999996</v>
      </c>
      <c r="AI569" s="3">
        <v>56.119</v>
      </c>
      <c r="AJ569" s="3">
        <v>0.31088100000000002</v>
      </c>
      <c r="AK569" s="3">
        <v>1.0640099999999999</v>
      </c>
      <c r="AL569" s="3">
        <v>0</v>
      </c>
      <c r="AM569" s="3">
        <v>9.2011999999999997E-3</v>
      </c>
      <c r="AN569" s="3">
        <v>-0.46432899999999999</v>
      </c>
      <c r="AO569" s="3">
        <v>25.494399999999999</v>
      </c>
      <c r="AP569" s="3">
        <v>3.7961399999999999E-2</v>
      </c>
      <c r="AQ569" s="3">
        <v>0.34403600000000001</v>
      </c>
      <c r="AR569" s="3">
        <v>0</v>
      </c>
      <c r="AS569" s="3">
        <v>6.9487900000000005E-2</v>
      </c>
      <c r="AT569" s="3">
        <v>0.71581600000000001</v>
      </c>
      <c r="AU569" s="3">
        <v>0</v>
      </c>
      <c r="AV569" s="3">
        <v>0</v>
      </c>
      <c r="AW569" s="3">
        <v>-0.398675</v>
      </c>
      <c r="AX569" s="3">
        <v>0.71375500000000003</v>
      </c>
      <c r="AY569" s="3">
        <v>9.5574900000000004E-2</v>
      </c>
      <c r="AZ569" s="21">
        <v>2.7385600000000001</v>
      </c>
      <c r="BA569" s="3">
        <v>53.83</v>
      </c>
      <c r="BB569" s="3">
        <v>4</v>
      </c>
    </row>
    <row r="570" spans="1:54" ht="126" customHeight="1" x14ac:dyDescent="0.25">
      <c r="A570" s="2">
        <v>568</v>
      </c>
      <c r="B570" s="3">
        <v>15</v>
      </c>
      <c r="C570" s="2">
        <v>2</v>
      </c>
      <c r="D570" s="9">
        <v>66</v>
      </c>
      <c r="E570" s="3" t="s">
        <v>53</v>
      </c>
      <c r="F570" s="3">
        <f t="shared" si="74"/>
        <v>2</v>
      </c>
      <c r="G570" s="11" t="s">
        <v>76</v>
      </c>
      <c r="H570" s="3" t="s">
        <v>76</v>
      </c>
      <c r="I570" s="3">
        <f t="shared" si="68"/>
        <v>2</v>
      </c>
      <c r="J570" s="3" t="s">
        <v>77</v>
      </c>
      <c r="K570" s="3">
        <v>1</v>
      </c>
      <c r="L570" s="6" t="s">
        <v>217</v>
      </c>
      <c r="M570" s="3">
        <v>-100</v>
      </c>
      <c r="N570" s="3">
        <f t="shared" si="69"/>
        <v>-1</v>
      </c>
      <c r="O570" s="3">
        <v>-88</v>
      </c>
      <c r="P570" s="3">
        <v>-0.88</v>
      </c>
      <c r="Q570" s="17">
        <v>-5.7812499999999843E-3</v>
      </c>
      <c r="R570" s="21">
        <v>0.35357656985299218</v>
      </c>
      <c r="S570" s="3">
        <v>2</v>
      </c>
      <c r="T570" s="3">
        <v>67.849999999999994</v>
      </c>
      <c r="U570" s="3">
        <v>149.12</v>
      </c>
      <c r="V570" s="26">
        <v>-0.36311486930380599</v>
      </c>
      <c r="W570" s="18">
        <v>-0.56181939937734804</v>
      </c>
      <c r="X570" s="18">
        <v>-1.12845397378123</v>
      </c>
      <c r="Y570" s="18">
        <v>-0.47586855237419701</v>
      </c>
      <c r="Z570" s="18">
        <v>-0.74228992147875295</v>
      </c>
      <c r="AA570" s="18">
        <v>-0.497573399662666</v>
      </c>
      <c r="AB570" s="18">
        <v>0.70311067840349195</v>
      </c>
      <c r="AC570" s="18">
        <v>0.58358839638722304</v>
      </c>
      <c r="AD570" s="18">
        <v>-0.73958859535332699</v>
      </c>
      <c r="AE570" s="21">
        <v>1.78391254139519</v>
      </c>
      <c r="AF570" s="3">
        <v>4.07681</v>
      </c>
      <c r="AG570" s="3">
        <v>7.3768299999999995E-2</v>
      </c>
      <c r="AH570" s="3">
        <v>2.4698699999999998</v>
      </c>
      <c r="AI570" s="3">
        <v>12.658799999999999</v>
      </c>
      <c r="AJ570" s="3">
        <v>0.23647699999999999</v>
      </c>
      <c r="AK570" s="3">
        <v>1.28057</v>
      </c>
      <c r="AL570" s="3">
        <v>0</v>
      </c>
      <c r="AM570" s="3">
        <v>0.117608</v>
      </c>
      <c r="AN570" s="3">
        <v>-0.31236399999999998</v>
      </c>
      <c r="AO570" s="3">
        <v>5.4948300000000003</v>
      </c>
      <c r="AP570" s="3">
        <v>0.16905600000000001</v>
      </c>
      <c r="AQ570" s="3">
        <v>0.87800599999999995</v>
      </c>
      <c r="AR570" s="3">
        <v>0</v>
      </c>
      <c r="AS570" s="3">
        <v>0</v>
      </c>
      <c r="AT570" s="3">
        <v>-0.72490399999999999</v>
      </c>
      <c r="AU570" s="3">
        <v>0</v>
      </c>
      <c r="AV570" s="3">
        <v>0</v>
      </c>
      <c r="AW570" s="3">
        <v>-0.401059</v>
      </c>
      <c r="AX570" s="3">
        <v>0.23633699999999999</v>
      </c>
      <c r="AY570" s="3">
        <v>0.42713299999999998</v>
      </c>
      <c r="AZ570" s="21">
        <v>2.72296</v>
      </c>
      <c r="BA570" s="3">
        <v>81.27</v>
      </c>
      <c r="BB570" s="3">
        <v>1</v>
      </c>
    </row>
    <row r="571" spans="1:54" ht="141.75" customHeight="1" x14ac:dyDescent="0.25">
      <c r="A571" s="2">
        <v>569</v>
      </c>
      <c r="B571" s="3">
        <v>15</v>
      </c>
      <c r="C571" s="2">
        <v>2</v>
      </c>
      <c r="D571" s="9">
        <v>66</v>
      </c>
      <c r="E571" s="3" t="s">
        <v>53</v>
      </c>
      <c r="F571" s="3">
        <f>IF(E572="Happy", 1,2)</f>
        <v>2</v>
      </c>
      <c r="G571" s="12"/>
      <c r="H571" s="3" t="s">
        <v>76</v>
      </c>
      <c r="I571" s="3">
        <f t="shared" si="68"/>
        <v>2</v>
      </c>
      <c r="J571" s="3" t="s">
        <v>78</v>
      </c>
      <c r="K571" s="3">
        <v>2</v>
      </c>
      <c r="L571" s="6" t="s">
        <v>206</v>
      </c>
      <c r="M571" s="3">
        <v>-100</v>
      </c>
      <c r="N571" s="3">
        <f t="shared" si="69"/>
        <v>-1</v>
      </c>
      <c r="O571" s="3">
        <v>-88</v>
      </c>
      <c r="P571" s="3">
        <v>-0.88</v>
      </c>
      <c r="Q571" s="17">
        <v>6.5185185185185193E-2</v>
      </c>
      <c r="R571" s="21">
        <v>0.18323755915865</v>
      </c>
      <c r="S571" s="3">
        <v>3</v>
      </c>
      <c r="T571" s="3">
        <v>149.12</v>
      </c>
      <c r="U571" s="3">
        <v>225.42</v>
      </c>
      <c r="V571" s="26">
        <v>-1.5142438373084099</v>
      </c>
      <c r="W571" s="18">
        <v>-1.03247460602872</v>
      </c>
      <c r="X571" s="18">
        <v>-0.35249703315450398</v>
      </c>
      <c r="Y571" s="18">
        <v>-0.22912844065724799</v>
      </c>
      <c r="Z571" s="18">
        <v>-1.04407742570621</v>
      </c>
      <c r="AA571" s="18">
        <v>-0.75223163342566801</v>
      </c>
      <c r="AB571" s="18">
        <v>1.33694508457859</v>
      </c>
      <c r="AC571" s="18">
        <v>7.4025813755626502E-2</v>
      </c>
      <c r="AD571" s="18">
        <v>-0.89333414909344699</v>
      </c>
      <c r="AE571" s="21">
        <v>0.99300500235801104</v>
      </c>
      <c r="AF571" s="3">
        <v>2.5478399999999999</v>
      </c>
      <c r="AG571" s="3">
        <v>0.16438900000000001</v>
      </c>
      <c r="AH571" s="3">
        <v>2.58812</v>
      </c>
      <c r="AI571" s="3">
        <v>24.581900000000001</v>
      </c>
      <c r="AJ571" s="3">
        <v>0.19564400000000001</v>
      </c>
      <c r="AK571" s="3">
        <v>0.90304499999999999</v>
      </c>
      <c r="AL571" s="3">
        <v>13.6671</v>
      </c>
      <c r="AM571" s="3">
        <v>0.45128699999999999</v>
      </c>
      <c r="AN571" s="3">
        <v>3.7486100000000002</v>
      </c>
      <c r="AO571" s="3">
        <v>22.726099999999999</v>
      </c>
      <c r="AP571" s="3">
        <v>0.15300800000000001</v>
      </c>
      <c r="AQ571" s="3">
        <v>0.83228599999999997</v>
      </c>
      <c r="AR571" s="3">
        <v>0</v>
      </c>
      <c r="AS571" s="3">
        <v>0.21945400000000001</v>
      </c>
      <c r="AT571" s="3">
        <v>9.6690999999999999E-2</v>
      </c>
      <c r="AU571" s="3">
        <v>0</v>
      </c>
      <c r="AV571" s="3">
        <v>0.120545</v>
      </c>
      <c r="AW571" s="3">
        <v>-0.152028</v>
      </c>
      <c r="AX571" s="3">
        <v>11.0406</v>
      </c>
      <c r="AY571" s="3">
        <v>0.65953300000000004</v>
      </c>
      <c r="AZ571" s="21">
        <v>3.4048400000000001</v>
      </c>
      <c r="BA571" s="3">
        <v>76.3</v>
      </c>
      <c r="BB571" s="3">
        <v>2</v>
      </c>
    </row>
    <row r="572" spans="1:54" ht="110.25" customHeight="1" x14ac:dyDescent="0.25">
      <c r="A572" s="2">
        <v>570</v>
      </c>
      <c r="B572" s="3">
        <v>15</v>
      </c>
      <c r="C572" s="2">
        <v>2</v>
      </c>
      <c r="D572" s="9">
        <v>66</v>
      </c>
      <c r="E572" s="3" t="s">
        <v>53</v>
      </c>
      <c r="F572" s="3">
        <f>IF(E573="Happy", 1,2)</f>
        <v>2</v>
      </c>
      <c r="G572" s="12"/>
      <c r="H572" s="3" t="s">
        <v>76</v>
      </c>
      <c r="I572" s="3">
        <f t="shared" si="68"/>
        <v>2</v>
      </c>
      <c r="J572" s="3" t="s">
        <v>79</v>
      </c>
      <c r="K572" s="3">
        <v>3</v>
      </c>
      <c r="L572" s="6" t="s">
        <v>267</v>
      </c>
      <c r="M572" s="3">
        <v>-100</v>
      </c>
      <c r="N572" s="3">
        <f t="shared" si="69"/>
        <v>-1</v>
      </c>
      <c r="O572" s="3">
        <v>-88</v>
      </c>
      <c r="P572" s="3">
        <v>-0.88</v>
      </c>
      <c r="Q572" s="17">
        <v>-4.2666666666666658E-2</v>
      </c>
      <c r="R572" s="21">
        <v>0.36826469948786678</v>
      </c>
      <c r="S572" s="3">
        <v>4</v>
      </c>
      <c r="T572" s="3">
        <v>225.42</v>
      </c>
      <c r="U572" s="3">
        <v>292.66000000000003</v>
      </c>
      <c r="V572" s="26">
        <v>-1.7615579604163301</v>
      </c>
      <c r="W572" s="18">
        <v>-0.450935311750152</v>
      </c>
      <c r="X572" s="18">
        <v>-0.16487201667669599</v>
      </c>
      <c r="Y572" s="18">
        <v>0.16850121330425299</v>
      </c>
      <c r="Z572" s="18">
        <v>-1.95345040356104</v>
      </c>
      <c r="AA572" s="18">
        <v>-2.4541373953639298</v>
      </c>
      <c r="AB572" s="18">
        <v>0.65561492561624901</v>
      </c>
      <c r="AC572" s="18">
        <v>1.1748339305320701</v>
      </c>
      <c r="AD572" s="18">
        <v>-0.871520229453285</v>
      </c>
      <c r="AE572" s="21">
        <v>2.4172881886734299</v>
      </c>
      <c r="AF572" s="3">
        <v>1.9285699999999999</v>
      </c>
      <c r="AG572" s="3">
        <v>9.0201799999999999E-2</v>
      </c>
      <c r="AH572" s="3">
        <v>2.1210300000000002</v>
      </c>
      <c r="AI572" s="3">
        <v>31.535699999999999</v>
      </c>
      <c r="AJ572" s="3">
        <v>0.292354</v>
      </c>
      <c r="AK572" s="3">
        <v>1.22559</v>
      </c>
      <c r="AL572" s="3">
        <v>0</v>
      </c>
      <c r="AM572" s="3">
        <v>0.114719</v>
      </c>
      <c r="AN572" s="3">
        <v>-0.24651899999999999</v>
      </c>
      <c r="AO572" s="3">
        <v>5.375</v>
      </c>
      <c r="AP572" s="3">
        <v>9.8877000000000007E-2</v>
      </c>
      <c r="AQ572" s="3">
        <v>0.66454999999999997</v>
      </c>
      <c r="AR572" s="3">
        <v>0</v>
      </c>
      <c r="AS572" s="3">
        <v>6.5319699999999994E-2</v>
      </c>
      <c r="AT572" s="3">
        <v>1.2953699999999999</v>
      </c>
      <c r="AU572" s="3">
        <v>0</v>
      </c>
      <c r="AV572" s="3">
        <v>0</v>
      </c>
      <c r="AW572" s="3">
        <v>-0.401059</v>
      </c>
      <c r="AX572" s="3">
        <v>0.25</v>
      </c>
      <c r="AY572" s="3">
        <v>0.56132300000000002</v>
      </c>
      <c r="AZ572" s="21">
        <v>3.4157899999999999</v>
      </c>
      <c r="BA572" s="3">
        <v>67.239999999999995</v>
      </c>
      <c r="BB572" s="3">
        <v>3</v>
      </c>
    </row>
    <row r="573" spans="1:54" ht="110.25" customHeight="1" x14ac:dyDescent="0.25">
      <c r="A573" s="2">
        <v>571</v>
      </c>
      <c r="B573" s="3">
        <v>15</v>
      </c>
      <c r="C573" s="2">
        <v>2</v>
      </c>
      <c r="D573" s="9">
        <v>66</v>
      </c>
      <c r="E573" s="3" t="s">
        <v>53</v>
      </c>
      <c r="F573" s="3">
        <f t="shared" ref="F573:F580" si="75">IF(E573="Happy", 1,2)</f>
        <v>2</v>
      </c>
      <c r="G573" s="12"/>
      <c r="H573" s="3" t="s">
        <v>76</v>
      </c>
      <c r="I573" s="3">
        <f t="shared" si="68"/>
        <v>2</v>
      </c>
      <c r="J573" s="3" t="s">
        <v>80</v>
      </c>
      <c r="K573" s="3">
        <v>4</v>
      </c>
      <c r="L573" s="6" t="s">
        <v>185</v>
      </c>
      <c r="M573" s="3">
        <v>-100</v>
      </c>
      <c r="N573" s="3">
        <f t="shared" si="69"/>
        <v>-1</v>
      </c>
      <c r="O573" s="3">
        <v>-88</v>
      </c>
      <c r="P573" s="3">
        <v>-0.88</v>
      </c>
      <c r="Q573" s="17">
        <v>0.14000000000000001</v>
      </c>
      <c r="R573" s="21">
        <v>0.35327043465311392</v>
      </c>
      <c r="S573" s="3">
        <v>5</v>
      </c>
      <c r="T573" s="3">
        <v>292.66000000000003</v>
      </c>
      <c r="U573" s="3">
        <v>377.36</v>
      </c>
      <c r="V573" s="26">
        <v>0.68357109503019298</v>
      </c>
      <c r="W573" s="18">
        <v>1.3241515474188901</v>
      </c>
      <c r="X573" s="18">
        <v>1.5347109184935701</v>
      </c>
      <c r="Y573" s="18">
        <v>1.1977470089753699</v>
      </c>
      <c r="Z573" s="18">
        <v>-0.37132189302639601</v>
      </c>
      <c r="AA573" s="18">
        <v>6.7978763148517599E-2</v>
      </c>
      <c r="AB573" s="18">
        <v>-0.51494538858376104</v>
      </c>
      <c r="AC573" s="18">
        <v>1.4800153408666801</v>
      </c>
      <c r="AD573" s="18">
        <v>-4.2329254062387897E-2</v>
      </c>
      <c r="AE573" s="21">
        <v>0.84684139144764903</v>
      </c>
      <c r="AF573" s="3">
        <v>0</v>
      </c>
      <c r="AG573" s="3">
        <v>0.22863600000000001</v>
      </c>
      <c r="AH573" s="3">
        <v>-0.458403</v>
      </c>
      <c r="AI573" s="3">
        <v>14.4261</v>
      </c>
      <c r="AJ573" s="3">
        <v>0.106695</v>
      </c>
      <c r="AK573" s="3">
        <v>0.34453699999999998</v>
      </c>
      <c r="AL573" s="3">
        <v>0</v>
      </c>
      <c r="AM573" s="3">
        <v>4.8954400000000002E-2</v>
      </c>
      <c r="AN573" s="3">
        <v>-0.320747</v>
      </c>
      <c r="AO573" s="3">
        <v>6.6036799999999998</v>
      </c>
      <c r="AP573" s="3">
        <v>1.81265E-2</v>
      </c>
      <c r="AQ573" s="3">
        <v>0.47019899999999998</v>
      </c>
      <c r="AR573" s="3">
        <v>2.7633399999999999</v>
      </c>
      <c r="AS573" s="3">
        <v>0.23999200000000001</v>
      </c>
      <c r="AT573" s="3">
        <v>4.2409499999999998</v>
      </c>
      <c r="AU573" s="3">
        <v>0</v>
      </c>
      <c r="AV573" s="3">
        <v>0.20203199999999999</v>
      </c>
      <c r="AW573" s="3">
        <v>-0.140963</v>
      </c>
      <c r="AX573" s="3">
        <v>0</v>
      </c>
      <c r="AY573" s="3">
        <v>0</v>
      </c>
      <c r="AZ573" s="21">
        <v>-0.48900399999999999</v>
      </c>
      <c r="BA573" s="3">
        <v>84.7</v>
      </c>
      <c r="BB573" s="3">
        <v>4</v>
      </c>
    </row>
    <row r="574" spans="1:54" ht="126" customHeight="1" x14ac:dyDescent="0.25">
      <c r="A574" s="2">
        <v>572</v>
      </c>
      <c r="B574" s="3">
        <v>15</v>
      </c>
      <c r="C574" s="2">
        <v>2</v>
      </c>
      <c r="D574" s="9">
        <v>66</v>
      </c>
      <c r="E574" s="3" t="s">
        <v>53</v>
      </c>
      <c r="F574" s="3">
        <f t="shared" si="75"/>
        <v>2</v>
      </c>
      <c r="G574" s="12"/>
      <c r="H574" s="3" t="s">
        <v>76</v>
      </c>
      <c r="I574" s="3">
        <f t="shared" si="68"/>
        <v>2</v>
      </c>
      <c r="J574" s="3" t="s">
        <v>81</v>
      </c>
      <c r="K574" s="3">
        <v>5</v>
      </c>
      <c r="L574" s="6" t="s">
        <v>203</v>
      </c>
      <c r="M574" s="3">
        <v>-100</v>
      </c>
      <c r="N574" s="3">
        <f t="shared" si="69"/>
        <v>-1</v>
      </c>
      <c r="O574" s="3">
        <v>-88</v>
      </c>
      <c r="P574" s="3">
        <v>-0.88</v>
      </c>
      <c r="Q574" s="17">
        <v>4.0083333333333332E-2</v>
      </c>
      <c r="R574" s="21">
        <v>0.41139113023622298</v>
      </c>
      <c r="S574" s="3">
        <v>6</v>
      </c>
      <c r="T574" s="3">
        <v>377.36</v>
      </c>
      <c r="U574" s="3">
        <v>461.82</v>
      </c>
      <c r="V574" s="26">
        <v>-1.8241544544554601E-2</v>
      </c>
      <c r="W574" s="18">
        <v>1.07347941548232</v>
      </c>
      <c r="X574" s="18">
        <v>0.57333827854727304</v>
      </c>
      <c r="Y574" s="18">
        <v>0.262878030673589</v>
      </c>
      <c r="Z574" s="18">
        <v>-1.08531002076054</v>
      </c>
      <c r="AA574" s="18">
        <v>-0.93362826740562399</v>
      </c>
      <c r="AB574" s="18">
        <v>1.45085294316827</v>
      </c>
      <c r="AC574" s="18">
        <v>1.50990782525025</v>
      </c>
      <c r="AD574" s="18">
        <v>-0.39659254959991103</v>
      </c>
      <c r="AE574" s="21">
        <v>1.2414831409056299</v>
      </c>
      <c r="AF574" s="3">
        <v>20.279499999999999</v>
      </c>
      <c r="AG574" s="3">
        <v>0.12769800000000001</v>
      </c>
      <c r="AH574" s="3">
        <v>2.2396799999999999</v>
      </c>
      <c r="AI574" s="3">
        <v>42.321199999999997</v>
      </c>
      <c r="AJ574" s="3">
        <v>0.34198000000000001</v>
      </c>
      <c r="AK574" s="3">
        <v>1.0647599999999999</v>
      </c>
      <c r="AL574" s="3">
        <v>31.861699999999999</v>
      </c>
      <c r="AM574" s="3">
        <v>0.29314200000000001</v>
      </c>
      <c r="AN574" s="3">
        <v>3.4121999999999999</v>
      </c>
      <c r="AO574" s="3">
        <v>33.240200000000002</v>
      </c>
      <c r="AP574" s="3">
        <v>0.34467399999999998</v>
      </c>
      <c r="AQ574" s="3">
        <v>1.673</v>
      </c>
      <c r="AR574" s="3">
        <v>1.2079599999999999</v>
      </c>
      <c r="AS574" s="3">
        <v>0.122933</v>
      </c>
      <c r="AT574" s="3">
        <v>3.53024</v>
      </c>
      <c r="AU574" s="3">
        <v>9.9478899999999995E-2</v>
      </c>
      <c r="AV574" s="3">
        <v>8.0504400000000004E-2</v>
      </c>
      <c r="AW574" s="3">
        <v>7.3567600000000004</v>
      </c>
      <c r="AX574" s="3">
        <v>3.0696400000000001</v>
      </c>
      <c r="AY574" s="3">
        <v>0.70434799999999997</v>
      </c>
      <c r="AZ574" s="21">
        <v>3.95024</v>
      </c>
      <c r="BA574" s="3">
        <v>84.46</v>
      </c>
      <c r="BB574" s="3">
        <v>5</v>
      </c>
    </row>
    <row r="575" spans="1:54" ht="157.5" customHeight="1" x14ac:dyDescent="0.25">
      <c r="A575" s="2">
        <v>573</v>
      </c>
      <c r="B575" s="3">
        <v>15</v>
      </c>
      <c r="C575" s="2">
        <v>2</v>
      </c>
      <c r="D575" s="9">
        <v>66</v>
      </c>
      <c r="E575" s="3" t="s">
        <v>53</v>
      </c>
      <c r="F575" s="3">
        <f t="shared" si="75"/>
        <v>2</v>
      </c>
      <c r="G575" s="12"/>
      <c r="H575" s="3" t="s">
        <v>76</v>
      </c>
      <c r="I575" s="3">
        <f t="shared" si="68"/>
        <v>2</v>
      </c>
      <c r="J575" s="3" t="s">
        <v>82</v>
      </c>
      <c r="K575" s="3">
        <v>6</v>
      </c>
      <c r="L575" s="6" t="s">
        <v>195</v>
      </c>
      <c r="M575" s="3">
        <v>-100</v>
      </c>
      <c r="N575" s="3">
        <f t="shared" si="69"/>
        <v>-1</v>
      </c>
      <c r="O575" s="3">
        <v>-88</v>
      </c>
      <c r="P575" s="3">
        <v>-0.88</v>
      </c>
      <c r="Q575" s="17">
        <v>-7.9861111111111119E-2</v>
      </c>
      <c r="R575" s="21">
        <v>0.36282472684122208</v>
      </c>
      <c r="S575" s="3">
        <v>7</v>
      </c>
      <c r="T575" s="3">
        <v>461.82</v>
      </c>
      <c r="U575" s="3">
        <v>543.73</v>
      </c>
      <c r="V575" s="26">
        <v>-7.3486368548921601E-3</v>
      </c>
      <c r="W575" s="18">
        <v>0.70867088945600198</v>
      </c>
      <c r="X575" s="18">
        <v>0.39867080064378102</v>
      </c>
      <c r="Y575" s="18">
        <v>1.63086007895681</v>
      </c>
      <c r="Z575" s="18">
        <v>-0.29499772771305599</v>
      </c>
      <c r="AA575" s="18">
        <v>-0.31969149663803498</v>
      </c>
      <c r="AB575" s="18">
        <v>-2.8233550671849499</v>
      </c>
      <c r="AC575" s="18">
        <v>-1.3114560787201901</v>
      </c>
      <c r="AD575" s="18">
        <v>-0.86647616995691101</v>
      </c>
      <c r="AE575" s="21">
        <v>0.95727611969103299</v>
      </c>
      <c r="AF575" s="3">
        <v>1.9633700000000001</v>
      </c>
      <c r="AG575" s="3">
        <v>0.20491599999999999</v>
      </c>
      <c r="AH575" s="3">
        <v>3.177</v>
      </c>
      <c r="AI575" s="3">
        <v>38.065899999999999</v>
      </c>
      <c r="AJ575" s="3">
        <v>0.12688199999999999</v>
      </c>
      <c r="AK575" s="3">
        <v>0.31410100000000002</v>
      </c>
      <c r="AL575" s="3">
        <v>5.2600699999999998</v>
      </c>
      <c r="AM575" s="3">
        <v>0.27447899999999997</v>
      </c>
      <c r="AN575" s="3">
        <v>3.04297</v>
      </c>
      <c r="AO575" s="3">
        <v>22.329699999999999</v>
      </c>
      <c r="AP575" s="3">
        <v>0.13015399999999999</v>
      </c>
      <c r="AQ575" s="3">
        <v>0.75070400000000004</v>
      </c>
      <c r="AR575" s="3">
        <v>0.99633700000000003</v>
      </c>
      <c r="AS575" s="3">
        <v>0.28235300000000002</v>
      </c>
      <c r="AT575" s="3">
        <v>4.45512</v>
      </c>
      <c r="AU575" s="3">
        <v>0</v>
      </c>
      <c r="AV575" s="3">
        <v>3.3595899999999998E-2</v>
      </c>
      <c r="AW575" s="3">
        <v>-0.331341</v>
      </c>
      <c r="AX575" s="3">
        <v>1.49451</v>
      </c>
      <c r="AY575" s="3">
        <v>1.3876299999999999</v>
      </c>
      <c r="AZ575" s="21">
        <v>4.7552599999999998</v>
      </c>
      <c r="BA575" s="3">
        <v>81.91</v>
      </c>
      <c r="BB575" s="3">
        <v>6</v>
      </c>
    </row>
    <row r="576" spans="1:54" ht="141.75" customHeight="1" x14ac:dyDescent="0.25">
      <c r="A576" s="2">
        <v>574</v>
      </c>
      <c r="B576" s="3">
        <v>15</v>
      </c>
      <c r="C576" s="2">
        <v>2</v>
      </c>
      <c r="D576" s="9">
        <v>66</v>
      </c>
      <c r="E576" s="3" t="s">
        <v>53</v>
      </c>
      <c r="F576" s="3">
        <f t="shared" si="75"/>
        <v>2</v>
      </c>
      <c r="G576" s="12"/>
      <c r="H576" s="3" t="s">
        <v>76</v>
      </c>
      <c r="I576" s="3">
        <f t="shared" si="68"/>
        <v>2</v>
      </c>
      <c r="J576" s="3" t="s">
        <v>83</v>
      </c>
      <c r="K576" s="3">
        <v>7</v>
      </c>
      <c r="L576" s="6" t="s">
        <v>247</v>
      </c>
      <c r="M576" s="3">
        <v>-100</v>
      </c>
      <c r="N576" s="3">
        <f t="shared" si="69"/>
        <v>-1</v>
      </c>
      <c r="O576" s="3">
        <v>-88</v>
      </c>
      <c r="P576" s="3">
        <v>-0.88</v>
      </c>
      <c r="Q576" s="17">
        <v>-0.14484848484848481</v>
      </c>
      <c r="R576" s="21">
        <v>0.28974529479973588</v>
      </c>
      <c r="S576" s="3">
        <v>8</v>
      </c>
      <c r="T576" s="3">
        <v>543.73</v>
      </c>
      <c r="U576" s="3">
        <v>656.63</v>
      </c>
      <c r="V576" s="26">
        <v>0.73033969751314998</v>
      </c>
      <c r="W576" s="18">
        <v>0.90373591691264499</v>
      </c>
      <c r="X576" s="18">
        <v>1.3367497075938199</v>
      </c>
      <c r="Y576" s="18">
        <v>-0.48165019524006902</v>
      </c>
      <c r="Z576" s="18">
        <v>-0.36004245972885801</v>
      </c>
      <c r="AA576" s="18">
        <v>-0.29184752413481901</v>
      </c>
      <c r="AB576" s="18">
        <v>-0.88364354717228399</v>
      </c>
      <c r="AC576" s="18">
        <v>0.99547902423063495</v>
      </c>
      <c r="AD576" s="18">
        <v>-0.17904291859397301</v>
      </c>
      <c r="AE576" s="21">
        <v>0.32065239217034602</v>
      </c>
      <c r="AF576" s="3">
        <v>0.85046100000000002</v>
      </c>
      <c r="AG576" s="3">
        <v>0.18312800000000001</v>
      </c>
      <c r="AH576" s="3">
        <v>2.4893800000000001</v>
      </c>
      <c r="AI576" s="3">
        <v>27.278500000000001</v>
      </c>
      <c r="AJ576" s="3">
        <v>0.22110199999999999</v>
      </c>
      <c r="AK576" s="3">
        <v>1.48939</v>
      </c>
      <c r="AL576" s="3">
        <v>1.1693800000000001</v>
      </c>
      <c r="AM576" s="3">
        <v>0.25806600000000002</v>
      </c>
      <c r="AN576" s="3">
        <v>2.96414</v>
      </c>
      <c r="AO576" s="3">
        <v>22.845500000000001</v>
      </c>
      <c r="AP576" s="3">
        <v>0.13324900000000001</v>
      </c>
      <c r="AQ576" s="3">
        <v>0.86407599999999996</v>
      </c>
      <c r="AR576" s="3">
        <v>2.79589</v>
      </c>
      <c r="AS576" s="3">
        <v>2.44949E-2</v>
      </c>
      <c r="AT576" s="3">
        <v>2.9882399999999998</v>
      </c>
      <c r="AU576" s="3">
        <v>0.106308</v>
      </c>
      <c r="AV576" s="3">
        <v>0.1108</v>
      </c>
      <c r="AW576" s="3">
        <v>6.75535</v>
      </c>
      <c r="AX576" s="3">
        <v>0.26576899999999998</v>
      </c>
      <c r="AY576" s="3">
        <v>0.30896499999999999</v>
      </c>
      <c r="AZ576" s="21">
        <v>2.6575600000000001</v>
      </c>
      <c r="BA576" s="3">
        <v>112.9</v>
      </c>
      <c r="BB576" s="3">
        <v>7</v>
      </c>
    </row>
    <row r="577" spans="1:54" ht="110.25" customHeight="1" x14ac:dyDescent="0.25">
      <c r="A577" s="2">
        <v>575</v>
      </c>
      <c r="B577" s="3">
        <v>15</v>
      </c>
      <c r="C577" s="2">
        <v>2</v>
      </c>
      <c r="D577" s="9">
        <v>66</v>
      </c>
      <c r="E577" s="3" t="s">
        <v>53</v>
      </c>
      <c r="F577" s="3">
        <f t="shared" si="75"/>
        <v>2</v>
      </c>
      <c r="G577" s="11" t="s">
        <v>84</v>
      </c>
      <c r="H577" s="3" t="s">
        <v>84</v>
      </c>
      <c r="I577" s="3">
        <f t="shared" si="68"/>
        <v>3</v>
      </c>
      <c r="J577" s="3" t="s">
        <v>85</v>
      </c>
      <c r="K577" s="3">
        <v>1</v>
      </c>
      <c r="L577" s="6" t="s">
        <v>186</v>
      </c>
      <c r="M577" s="3">
        <v>47</v>
      </c>
      <c r="N577" s="3">
        <f t="shared" si="69"/>
        <v>0.47</v>
      </c>
      <c r="O577" s="3">
        <v>49</v>
      </c>
      <c r="P577" s="3">
        <v>0.49</v>
      </c>
      <c r="Q577" s="17">
        <v>0.23146666666666671</v>
      </c>
      <c r="R577" s="21">
        <v>0.28025197392505352</v>
      </c>
      <c r="S577" s="3">
        <v>2</v>
      </c>
      <c r="T577" s="3">
        <v>57.9</v>
      </c>
      <c r="U577" s="3">
        <v>136.35</v>
      </c>
      <c r="V577" s="26">
        <v>-1.7932054022839301</v>
      </c>
      <c r="W577" s="18">
        <v>-1.36746217167101</v>
      </c>
      <c r="X577" s="18">
        <v>-0.89465351830503703</v>
      </c>
      <c r="Y577" s="18">
        <v>-1.39242899493406</v>
      </c>
      <c r="Z577" s="18">
        <v>1.5245001902164299</v>
      </c>
      <c r="AA577" s="18">
        <v>1.31187400033719</v>
      </c>
      <c r="AB577" s="18">
        <v>0.32276906064857902</v>
      </c>
      <c r="AC577" s="18">
        <v>-1.01461675705076</v>
      </c>
      <c r="AD577" s="18">
        <v>-0.53330621413149604</v>
      </c>
      <c r="AE577" s="21">
        <v>7.2174253622730902E-2</v>
      </c>
      <c r="AF577" s="3">
        <v>0.68842400000000004</v>
      </c>
      <c r="AG577" s="3">
        <v>0.18007600000000001</v>
      </c>
      <c r="AH577" s="3">
        <v>3.3867600000000002</v>
      </c>
      <c r="AI577" s="3">
        <v>25.991800000000001</v>
      </c>
      <c r="AJ577" s="3">
        <v>0.279532</v>
      </c>
      <c r="AK577" s="3">
        <v>0.81476099999999996</v>
      </c>
      <c r="AL577" s="3">
        <v>44.931199999999997</v>
      </c>
      <c r="AM577" s="3">
        <v>0.19490099999999999</v>
      </c>
      <c r="AN577" s="3">
        <v>2.49356</v>
      </c>
      <c r="AO577" s="3">
        <v>50.836300000000001</v>
      </c>
      <c r="AP577" s="3">
        <v>0.49282100000000001</v>
      </c>
      <c r="AQ577" s="3">
        <v>0.99564299999999994</v>
      </c>
      <c r="AR577" s="3">
        <v>0.872004</v>
      </c>
      <c r="AS577" s="3">
        <v>2.4397499999999999E-2</v>
      </c>
      <c r="AT577" s="3">
        <v>1.8972599999999999</v>
      </c>
      <c r="AU577" s="3">
        <v>0.35186099999999998</v>
      </c>
      <c r="AV577" s="3">
        <v>0.186472</v>
      </c>
      <c r="AW577" s="3">
        <v>8.7157599999999995</v>
      </c>
      <c r="AX577" s="3">
        <v>8.2304899999999996</v>
      </c>
      <c r="AY577" s="3">
        <v>0.326899</v>
      </c>
      <c r="AZ577" s="21">
        <v>2.83677</v>
      </c>
      <c r="BA577" s="3">
        <v>78.45</v>
      </c>
      <c r="BB577" s="3">
        <v>1</v>
      </c>
    </row>
    <row r="578" spans="1:54" ht="141.75" customHeight="1" x14ac:dyDescent="0.25">
      <c r="A578" s="2">
        <v>576</v>
      </c>
      <c r="B578" s="3">
        <v>15</v>
      </c>
      <c r="C578" s="2">
        <v>2</v>
      </c>
      <c r="D578" s="9">
        <v>66</v>
      </c>
      <c r="E578" s="3" t="s">
        <v>53</v>
      </c>
      <c r="F578" s="3">
        <f t="shared" si="75"/>
        <v>2</v>
      </c>
      <c r="G578" s="12"/>
      <c r="H578" s="3" t="s">
        <v>84</v>
      </c>
      <c r="I578" s="3">
        <f t="shared" si="68"/>
        <v>3</v>
      </c>
      <c r="J578" s="3" t="s">
        <v>86</v>
      </c>
      <c r="K578" s="3">
        <v>2</v>
      </c>
      <c r="L578" s="6" t="s">
        <v>213</v>
      </c>
      <c r="M578" s="3">
        <v>47</v>
      </c>
      <c r="N578" s="3">
        <f t="shared" si="69"/>
        <v>0.47</v>
      </c>
      <c r="O578" s="3">
        <v>49</v>
      </c>
      <c r="P578" s="3">
        <v>0.49</v>
      </c>
      <c r="Q578" s="17">
        <v>0.34125</v>
      </c>
      <c r="R578" s="21">
        <v>0.173393519198383</v>
      </c>
      <c r="S578" s="3">
        <v>3</v>
      </c>
      <c r="T578" s="3">
        <v>136.35</v>
      </c>
      <c r="U578" s="3">
        <v>236.17</v>
      </c>
      <c r="V578" s="26">
        <v>-0.53301844723252401</v>
      </c>
      <c r="W578" s="18">
        <v>-0.40452269772072802</v>
      </c>
      <c r="X578" s="18">
        <v>0.214199921845247</v>
      </c>
      <c r="Y578" s="18">
        <v>-0.68457452327743895</v>
      </c>
      <c r="Z578" s="18">
        <v>1.0759547260843501</v>
      </c>
      <c r="AA578" s="18">
        <v>1.31096108320593</v>
      </c>
      <c r="AB578" s="18">
        <v>0.87626018407142903</v>
      </c>
      <c r="AC578" s="18">
        <v>-0.45917268676065498</v>
      </c>
      <c r="AD578" s="18">
        <v>-0.60392304708072897</v>
      </c>
      <c r="AE578" s="21">
        <v>0.35313319459487102</v>
      </c>
      <c r="AF578" s="3">
        <v>0.192385</v>
      </c>
      <c r="AG578" s="3">
        <v>4.75094E-2</v>
      </c>
      <c r="AH578" s="3">
        <v>2.4892400000000001</v>
      </c>
      <c r="AI578" s="3">
        <v>27.486999999999998</v>
      </c>
      <c r="AJ578" s="3">
        <v>0.225911</v>
      </c>
      <c r="AK578" s="3">
        <v>0.90940200000000004</v>
      </c>
      <c r="AL578" s="3">
        <v>0</v>
      </c>
      <c r="AM578" s="3">
        <v>9.21767E-2</v>
      </c>
      <c r="AN578" s="3">
        <v>-0.32027899999999998</v>
      </c>
      <c r="AO578" s="3">
        <v>58.773499999999999</v>
      </c>
      <c r="AP578" s="3">
        <v>0.58875999999999995</v>
      </c>
      <c r="AQ578" s="3">
        <v>0.58687500000000004</v>
      </c>
      <c r="AR578" s="3">
        <v>0</v>
      </c>
      <c r="AS578" s="3">
        <v>0.23966000000000001</v>
      </c>
      <c r="AT578" s="3">
        <v>0.34</v>
      </c>
      <c r="AU578" s="3">
        <v>0</v>
      </c>
      <c r="AV578" s="3">
        <v>8.9171500000000001E-2</v>
      </c>
      <c r="AW578" s="3">
        <v>-0.38156299999999999</v>
      </c>
      <c r="AX578" s="3">
        <v>4.5931899999999999</v>
      </c>
      <c r="AY578" s="3">
        <v>0.46434700000000001</v>
      </c>
      <c r="AZ578" s="21">
        <v>3.29725</v>
      </c>
      <c r="BA578" s="3">
        <v>99.82</v>
      </c>
      <c r="BB578" s="3">
        <v>2</v>
      </c>
    </row>
    <row r="579" spans="1:54" ht="94.5" customHeight="1" x14ac:dyDescent="0.25">
      <c r="A579" s="2">
        <v>577</v>
      </c>
      <c r="B579" s="3">
        <v>15</v>
      </c>
      <c r="C579" s="2">
        <v>2</v>
      </c>
      <c r="D579" s="9">
        <v>66</v>
      </c>
      <c r="E579" s="3" t="s">
        <v>53</v>
      </c>
      <c r="F579" s="3">
        <f t="shared" si="75"/>
        <v>2</v>
      </c>
      <c r="G579" s="12"/>
      <c r="H579" s="3" t="s">
        <v>84</v>
      </c>
      <c r="I579" s="3">
        <f t="shared" ref="I579:I627" si="76">IF(OR(H579="HM1",H579="SM1"),1, IF(OR(H579="HM2",H579="SM2"),2,IF(OR(H579="HM3",H579="SM3"),3 )))</f>
        <v>3</v>
      </c>
      <c r="J579" s="3" t="s">
        <v>87</v>
      </c>
      <c r="K579" s="3">
        <v>3</v>
      </c>
      <c r="L579" s="6" t="s">
        <v>233</v>
      </c>
      <c r="M579" s="3">
        <v>47</v>
      </c>
      <c r="N579" s="3">
        <f t="shared" ref="N579:N627" si="77">M579/100</f>
        <v>0.47</v>
      </c>
      <c r="O579" s="3">
        <v>49</v>
      </c>
      <c r="P579" s="3">
        <v>0.49</v>
      </c>
      <c r="Q579" s="17">
        <v>2.5999999999999988E-2</v>
      </c>
      <c r="R579" s="21">
        <v>0.35725341146026862</v>
      </c>
      <c r="S579" s="3">
        <v>4</v>
      </c>
      <c r="T579" s="3">
        <v>236.17</v>
      </c>
      <c r="U579" s="3">
        <v>293.42</v>
      </c>
      <c r="V579" s="26">
        <v>-0.327342302630654</v>
      </c>
      <c r="W579" s="18">
        <v>-1.752970527927</v>
      </c>
      <c r="X579" s="18">
        <v>-1.80633428197539</v>
      </c>
      <c r="Y579" s="18">
        <v>-0.98232913086970797</v>
      </c>
      <c r="Z579" s="18">
        <v>-0.72386684709277305</v>
      </c>
      <c r="AA579" s="18">
        <v>-0.61355952118835</v>
      </c>
      <c r="AB579" s="18">
        <v>1.0898715639686101</v>
      </c>
      <c r="AC579" s="18">
        <v>0.38581137761684098</v>
      </c>
      <c r="AD579" s="18">
        <v>9.0126438167063297E-2</v>
      </c>
      <c r="AE579" s="21">
        <v>-0.143823082500359</v>
      </c>
      <c r="AF579" s="3">
        <v>0.52429199999999998</v>
      </c>
      <c r="AG579" s="3">
        <v>9.7707000000000002E-2</v>
      </c>
      <c r="AH579" s="3">
        <v>2.7257699999999998</v>
      </c>
      <c r="AI579" s="3">
        <v>27.514900000000001</v>
      </c>
      <c r="AJ579" s="3">
        <v>0.130357</v>
      </c>
      <c r="AK579" s="3">
        <v>0.27400000000000002</v>
      </c>
      <c r="AL579" s="3">
        <v>0</v>
      </c>
      <c r="AM579" s="3">
        <v>5.5275299999999999E-2</v>
      </c>
      <c r="AN579" s="3">
        <v>0.41667900000000002</v>
      </c>
      <c r="AO579" s="3">
        <v>51.967799999999997</v>
      </c>
      <c r="AP579" s="3">
        <v>0.42454199999999997</v>
      </c>
      <c r="AQ579" s="3">
        <v>0.881351</v>
      </c>
      <c r="AR579" s="3">
        <v>0</v>
      </c>
      <c r="AS579" s="3">
        <v>0.23558599999999999</v>
      </c>
      <c r="AT579" s="3">
        <v>1.7754800000000001E-2</v>
      </c>
      <c r="AU579" s="3">
        <v>0</v>
      </c>
      <c r="AV579" s="3">
        <v>7.2652499999999995E-2</v>
      </c>
      <c r="AW579" s="3">
        <v>-0.39069399999999999</v>
      </c>
      <c r="AX579" s="3">
        <v>1.19539</v>
      </c>
      <c r="AY579" s="3">
        <v>0.16630300000000001</v>
      </c>
      <c r="AZ579" s="21">
        <v>2.3234400000000002</v>
      </c>
      <c r="BA579" s="3">
        <v>57.25</v>
      </c>
      <c r="BB579" s="3">
        <v>3</v>
      </c>
    </row>
    <row r="580" spans="1:54" ht="110.25" customHeight="1" x14ac:dyDescent="0.25">
      <c r="A580" s="2">
        <v>578</v>
      </c>
      <c r="B580" s="3">
        <v>15</v>
      </c>
      <c r="C580" s="2">
        <v>2</v>
      </c>
      <c r="D580" s="9">
        <v>66</v>
      </c>
      <c r="E580" s="3" t="s">
        <v>53</v>
      </c>
      <c r="F580" s="3">
        <f t="shared" si="75"/>
        <v>2</v>
      </c>
      <c r="G580" s="12"/>
      <c r="H580" s="3" t="s">
        <v>84</v>
      </c>
      <c r="I580" s="3">
        <f t="shared" si="76"/>
        <v>3</v>
      </c>
      <c r="J580" s="3" t="s">
        <v>88</v>
      </c>
      <c r="K580" s="3">
        <v>4</v>
      </c>
      <c r="L580" s="6" t="s">
        <v>225</v>
      </c>
      <c r="M580" s="3">
        <v>47</v>
      </c>
      <c r="N580" s="3">
        <f t="shared" si="77"/>
        <v>0.47</v>
      </c>
      <c r="O580" s="3">
        <v>49</v>
      </c>
      <c r="P580" s="3">
        <v>0.49</v>
      </c>
      <c r="Q580" s="17">
        <v>0.34723809523809518</v>
      </c>
      <c r="R580" s="21">
        <v>0.2463544632068802</v>
      </c>
      <c r="S580" s="3">
        <v>5</v>
      </c>
      <c r="T580" s="3">
        <v>293.42</v>
      </c>
      <c r="U580" s="3">
        <v>359.48</v>
      </c>
      <c r="V580" s="26">
        <v>-1.50282239800303</v>
      </c>
      <c r="W580" s="18">
        <v>-1.55481214131613</v>
      </c>
      <c r="X580" s="18">
        <v>-1.2037021795643601</v>
      </c>
      <c r="Y580" s="18">
        <v>-1.6525462411249801</v>
      </c>
      <c r="Z580" s="18">
        <v>5.3160780070943901E-2</v>
      </c>
      <c r="AA580" s="18">
        <v>-0.11752599792207501</v>
      </c>
      <c r="AB580" s="18">
        <v>-0.73473702100034999</v>
      </c>
      <c r="AC580" s="18">
        <v>0.17656398693183301</v>
      </c>
      <c r="AD580" s="18">
        <v>1.0433881757155199</v>
      </c>
      <c r="AE580" s="21">
        <v>-1.18320876008515</v>
      </c>
      <c r="AF580" s="3">
        <v>1.7080599999999999</v>
      </c>
      <c r="AG580" s="3">
        <v>0.25273099999999998</v>
      </c>
      <c r="AH580" s="3">
        <v>3.44923</v>
      </c>
      <c r="AI580" s="3">
        <v>37.831600000000002</v>
      </c>
      <c r="AJ580" s="3">
        <v>0.14422599999999999</v>
      </c>
      <c r="AK580" s="3">
        <v>0.43963200000000002</v>
      </c>
      <c r="AL580" s="3">
        <v>0</v>
      </c>
      <c r="AM580" s="3">
        <v>0</v>
      </c>
      <c r="AN580" s="3">
        <v>-0.45805800000000002</v>
      </c>
      <c r="AO580" s="3">
        <v>40.375500000000002</v>
      </c>
      <c r="AP580" s="3">
        <v>0.11448899999999999</v>
      </c>
      <c r="AQ580" s="3">
        <v>-0.20532800000000001</v>
      </c>
      <c r="AR580" s="3">
        <v>0.127196</v>
      </c>
      <c r="AS580" s="3">
        <v>0.118663</v>
      </c>
      <c r="AT580" s="3">
        <v>2.1625100000000002</v>
      </c>
      <c r="AU580" s="3">
        <v>0</v>
      </c>
      <c r="AV580" s="3">
        <v>0</v>
      </c>
      <c r="AW580" s="3">
        <v>-0.47973399999999999</v>
      </c>
      <c r="AX580" s="3">
        <v>3.4342800000000002</v>
      </c>
      <c r="AY580" s="3">
        <v>1.27284</v>
      </c>
      <c r="AZ580" s="21">
        <v>4.3854300000000004</v>
      </c>
      <c r="BA580" s="3">
        <v>66.06</v>
      </c>
      <c r="BB580" s="3">
        <v>4</v>
      </c>
    </row>
    <row r="581" spans="1:54" ht="236.25" customHeight="1" x14ac:dyDescent="0.25">
      <c r="A581" s="2">
        <v>579</v>
      </c>
      <c r="B581" s="3">
        <v>15</v>
      </c>
      <c r="C581" s="2">
        <v>2</v>
      </c>
      <c r="D581" s="9">
        <v>66</v>
      </c>
      <c r="E581" s="3" t="s">
        <v>53</v>
      </c>
      <c r="F581" s="3">
        <f>IF(E582="Happy", 1,2)</f>
        <v>2</v>
      </c>
      <c r="G581" s="12"/>
      <c r="H581" s="3" t="s">
        <v>84</v>
      </c>
      <c r="I581" s="3">
        <f t="shared" si="76"/>
        <v>3</v>
      </c>
      <c r="J581" s="3" t="s">
        <v>89</v>
      </c>
      <c r="K581" s="3">
        <v>5</v>
      </c>
      <c r="L581" s="6" t="s">
        <v>238</v>
      </c>
      <c r="M581" s="3">
        <v>47</v>
      </c>
      <c r="N581" s="3">
        <f t="shared" si="77"/>
        <v>0.47</v>
      </c>
      <c r="O581" s="3">
        <v>49</v>
      </c>
      <c r="P581" s="3">
        <v>0.49</v>
      </c>
      <c r="Q581" s="17">
        <v>0.20238636363636359</v>
      </c>
      <c r="R581" s="21">
        <v>0.25003278194159773</v>
      </c>
      <c r="S581" s="3">
        <v>6</v>
      </c>
      <c r="T581" s="3">
        <v>359.48</v>
      </c>
      <c r="U581" s="3">
        <v>476.28</v>
      </c>
      <c r="V581" s="26">
        <v>1.10287714049964</v>
      </c>
      <c r="W581" s="18">
        <v>0.98737888123700901</v>
      </c>
      <c r="X581" s="18">
        <v>0.62195746385572304</v>
      </c>
      <c r="Y581" s="18">
        <v>0.31899397613643599</v>
      </c>
      <c r="Z581" s="18">
        <v>0.28200794897432402</v>
      </c>
      <c r="AA581" s="18">
        <v>0.59847490811959303</v>
      </c>
      <c r="AB581" s="18">
        <v>-0.71687916427301102</v>
      </c>
      <c r="AC581" s="18">
        <v>0.680565177119975</v>
      </c>
      <c r="AD581" s="18">
        <v>-0.79920020758319898</v>
      </c>
      <c r="AE581" s="21">
        <v>-1.5778505095431301</v>
      </c>
      <c r="AF581" s="3">
        <v>6.1757200000000001</v>
      </c>
      <c r="AG581" s="3">
        <v>0.48141099999999998</v>
      </c>
      <c r="AH581" s="3">
        <v>4.0304599999999997</v>
      </c>
      <c r="AI581" s="3">
        <v>31.8856</v>
      </c>
      <c r="AJ581" s="3">
        <v>6.3047599999999995E-2</v>
      </c>
      <c r="AK581" s="3">
        <v>0.171899</v>
      </c>
      <c r="AL581" s="3">
        <v>0</v>
      </c>
      <c r="AM581" s="3">
        <v>0</v>
      </c>
      <c r="AN581" s="3">
        <v>-0.45805800000000002</v>
      </c>
      <c r="AO581" s="3">
        <v>39.910899999999998</v>
      </c>
      <c r="AP581" s="3">
        <v>0.187246</v>
      </c>
      <c r="AQ581" s="3">
        <v>0.189945</v>
      </c>
      <c r="AR581" s="3">
        <v>14.3757</v>
      </c>
      <c r="AS581" s="3">
        <v>0.226627</v>
      </c>
      <c r="AT581" s="3">
        <v>2.3489800000000001</v>
      </c>
      <c r="AU581" s="3">
        <v>0</v>
      </c>
      <c r="AV581" s="3">
        <v>0.160771</v>
      </c>
      <c r="AW581" s="3">
        <v>1.33091</v>
      </c>
      <c r="AX581" s="3">
        <v>1.17143</v>
      </c>
      <c r="AY581" s="3">
        <v>1.0165299999999999</v>
      </c>
      <c r="AZ581" s="21">
        <v>4.90855</v>
      </c>
      <c r="BA581" s="3">
        <v>116.8</v>
      </c>
      <c r="BB581" s="3">
        <v>5</v>
      </c>
    </row>
    <row r="582" spans="1:54" ht="78.75" customHeight="1" x14ac:dyDescent="0.25">
      <c r="A582" s="2">
        <v>580</v>
      </c>
      <c r="B582" s="3">
        <v>15</v>
      </c>
      <c r="C582" s="2">
        <v>2</v>
      </c>
      <c r="D582" s="9">
        <v>66</v>
      </c>
      <c r="E582" s="3" t="s">
        <v>53</v>
      </c>
      <c r="F582" s="3">
        <f>IF(E583="Happy", 1,2)</f>
        <v>1</v>
      </c>
      <c r="G582" s="12"/>
      <c r="H582" s="3" t="s">
        <v>84</v>
      </c>
      <c r="I582" s="3">
        <f t="shared" si="76"/>
        <v>3</v>
      </c>
      <c r="J582" s="3" t="s">
        <v>90</v>
      </c>
      <c r="K582" s="3">
        <v>6</v>
      </c>
      <c r="L582" s="6" t="s">
        <v>225</v>
      </c>
      <c r="M582" s="3">
        <v>47</v>
      </c>
      <c r="N582" s="3">
        <f t="shared" si="77"/>
        <v>0.47</v>
      </c>
      <c r="O582" s="3">
        <v>49</v>
      </c>
      <c r="P582" s="3">
        <v>0.49</v>
      </c>
      <c r="Q582" s="17">
        <v>0.15925925925925929</v>
      </c>
      <c r="R582" s="21">
        <v>0.14069199935720431</v>
      </c>
      <c r="S582" s="3">
        <v>7</v>
      </c>
      <c r="T582" s="3">
        <v>476.28</v>
      </c>
      <c r="U582" s="3">
        <v>542.66</v>
      </c>
      <c r="V582" s="26">
        <v>0.947011877924824</v>
      </c>
      <c r="W582" s="18">
        <v>1.7180963377318601</v>
      </c>
      <c r="X582" s="18">
        <v>2.41191283705952</v>
      </c>
      <c r="Y582" s="18">
        <v>0.65172185478989497</v>
      </c>
      <c r="Z582" s="18">
        <v>0.99073234116961795</v>
      </c>
      <c r="AA582" s="18">
        <v>0.81638822734966299</v>
      </c>
      <c r="AB582" s="18">
        <v>-0.80992440247950503</v>
      </c>
      <c r="AC582" s="18">
        <v>-0.28468399884724399</v>
      </c>
      <c r="AD582" s="18">
        <v>0.45454335996352102</v>
      </c>
      <c r="AE582" s="21">
        <v>-0.45563878577579803</v>
      </c>
      <c r="AF582" s="3">
        <v>0</v>
      </c>
      <c r="AG582" s="3">
        <v>0.121422</v>
      </c>
      <c r="AH582" s="3">
        <v>-0.60655300000000001</v>
      </c>
      <c r="AI582" s="3">
        <v>22.839099999999998</v>
      </c>
      <c r="AJ582" s="3">
        <v>0.217144</v>
      </c>
      <c r="AK582" s="3">
        <v>1.09162</v>
      </c>
      <c r="AL582" s="3">
        <v>0</v>
      </c>
      <c r="AM582" s="3">
        <v>0</v>
      </c>
      <c r="AN582" s="3">
        <v>-0.45805800000000002</v>
      </c>
      <c r="AO582" s="3">
        <v>37.287500000000001</v>
      </c>
      <c r="AP582" s="3">
        <v>8.7003399999999995E-2</v>
      </c>
      <c r="AQ582" s="3">
        <v>-0.258658</v>
      </c>
      <c r="AR582" s="3">
        <v>6.7269399999999999</v>
      </c>
      <c r="AS582" s="3">
        <v>0.27490900000000001</v>
      </c>
      <c r="AT582" s="3">
        <v>3.1333700000000002</v>
      </c>
      <c r="AU582" s="3">
        <v>0.32549699999999998</v>
      </c>
      <c r="AV582" s="3">
        <v>9.0994500000000006E-2</v>
      </c>
      <c r="AW582" s="3">
        <v>7.5138999999999996</v>
      </c>
      <c r="AX582" s="3">
        <v>0.41591299999999998</v>
      </c>
      <c r="AY582" s="3">
        <v>0.30362099999999997</v>
      </c>
      <c r="AZ582" s="21">
        <v>3.2052800000000001</v>
      </c>
      <c r="BA582" s="3">
        <v>66.38</v>
      </c>
      <c r="BB582" s="3">
        <v>6</v>
      </c>
    </row>
    <row r="583" spans="1:54" ht="189" customHeight="1" x14ac:dyDescent="0.25">
      <c r="A583" s="2">
        <v>581</v>
      </c>
      <c r="B583" s="3">
        <v>16</v>
      </c>
      <c r="C583" s="2">
        <v>2</v>
      </c>
      <c r="D583" s="9">
        <v>69</v>
      </c>
      <c r="E583" s="3" t="s">
        <v>16</v>
      </c>
      <c r="F583" s="3">
        <f t="shared" ref="F583:F590" si="78">IF(E583="Happy", 1,2)</f>
        <v>1</v>
      </c>
      <c r="G583" s="11" t="s">
        <v>17</v>
      </c>
      <c r="H583" s="3" t="s">
        <v>17</v>
      </c>
      <c r="I583" s="3">
        <f t="shared" si="76"/>
        <v>1</v>
      </c>
      <c r="J583" s="3" t="s">
        <v>18</v>
      </c>
      <c r="K583" s="3">
        <v>1</v>
      </c>
      <c r="L583" s="6" t="s">
        <v>282</v>
      </c>
      <c r="M583" s="3">
        <v>72</v>
      </c>
      <c r="N583" s="3">
        <f t="shared" si="77"/>
        <v>0.72</v>
      </c>
      <c r="O583" s="3">
        <v>55</v>
      </c>
      <c r="P583" s="3">
        <v>0.55000000000000004</v>
      </c>
      <c r="Q583" s="17">
        <v>0.19612213403880069</v>
      </c>
      <c r="R583" s="21">
        <v>0.2548097770513138</v>
      </c>
      <c r="S583" s="3">
        <v>2</v>
      </c>
      <c r="T583" s="3">
        <v>29.88</v>
      </c>
      <c r="U583" s="3">
        <v>191.59</v>
      </c>
      <c r="V583" s="26">
        <v>2.8130554822932599</v>
      </c>
      <c r="W583" s="18">
        <v>3.54895941387672</v>
      </c>
      <c r="X583" s="18">
        <v>4.7099148751729398</v>
      </c>
      <c r="Y583" s="18">
        <v>-2.2965992080053601</v>
      </c>
      <c r="Z583" s="18">
        <v>-0.71328169024510202</v>
      </c>
      <c r="AA583" s="18">
        <v>-1.4123003825621101</v>
      </c>
      <c r="AB583" s="18">
        <v>-1.4237222200417301</v>
      </c>
      <c r="AC583" s="18">
        <v>4.6734684379645397E-2</v>
      </c>
      <c r="AD583" s="18">
        <v>-0.53908659136598103</v>
      </c>
      <c r="AE583" s="21">
        <v>-0.58609512636704697</v>
      </c>
      <c r="AF583" s="3">
        <v>0</v>
      </c>
      <c r="AG583" s="3">
        <v>0.222189</v>
      </c>
      <c r="AH583" s="3">
        <v>-0.33920499999999998</v>
      </c>
      <c r="AI583" s="3">
        <v>50.167000000000002</v>
      </c>
      <c r="AJ583" s="3">
        <v>0.248395</v>
      </c>
      <c r="AK583" s="3">
        <v>0.66100199999999998</v>
      </c>
      <c r="AL583" s="3">
        <v>0</v>
      </c>
      <c r="AM583" s="3">
        <v>0.18432100000000001</v>
      </c>
      <c r="AN583" s="3">
        <v>0.84141299999999997</v>
      </c>
      <c r="AO583" s="3">
        <v>11.651199999999999</v>
      </c>
      <c r="AP583" s="3">
        <v>0.28826499999999999</v>
      </c>
      <c r="AQ583" s="3">
        <v>2.3090700000000002</v>
      </c>
      <c r="AR583" s="3">
        <v>8.282</v>
      </c>
      <c r="AS583" s="3">
        <v>0.16461400000000001</v>
      </c>
      <c r="AT583" s="3">
        <v>2.0766800000000001</v>
      </c>
      <c r="AU583" s="3">
        <v>10.5603</v>
      </c>
      <c r="AV583" s="3">
        <v>0.20565800000000001</v>
      </c>
      <c r="AW583" s="3">
        <v>1.0608299999999999</v>
      </c>
      <c r="AX583" s="3">
        <v>0</v>
      </c>
      <c r="AY583" s="3">
        <v>0</v>
      </c>
      <c r="AZ583" s="21">
        <v>-0.59231500000000004</v>
      </c>
      <c r="BA583" s="3">
        <v>161.71</v>
      </c>
      <c r="BB583" s="3">
        <v>1</v>
      </c>
    </row>
    <row r="584" spans="1:54" ht="252" customHeight="1" x14ac:dyDescent="0.25">
      <c r="A584" s="2">
        <v>582</v>
      </c>
      <c r="B584" s="3">
        <v>16</v>
      </c>
      <c r="C584" s="2">
        <v>2</v>
      </c>
      <c r="D584" s="9">
        <v>69</v>
      </c>
      <c r="E584" s="3" t="s">
        <v>16</v>
      </c>
      <c r="F584" s="3">
        <f t="shared" si="78"/>
        <v>1</v>
      </c>
      <c r="G584" s="12"/>
      <c r="H584" s="3" t="s">
        <v>17</v>
      </c>
      <c r="I584" s="3">
        <f t="shared" si="76"/>
        <v>1</v>
      </c>
      <c r="J584" s="3" t="s">
        <v>19</v>
      </c>
      <c r="K584" s="3">
        <v>2</v>
      </c>
      <c r="L584" s="6" t="s">
        <v>288</v>
      </c>
      <c r="M584" s="3">
        <v>72</v>
      </c>
      <c r="N584" s="3">
        <f t="shared" si="77"/>
        <v>0.72</v>
      </c>
      <c r="O584" s="3">
        <v>55</v>
      </c>
      <c r="P584" s="3">
        <v>0.55000000000000004</v>
      </c>
      <c r="Q584" s="17">
        <v>0.39461210317460321</v>
      </c>
      <c r="R584" s="21">
        <v>0.21486559254561291</v>
      </c>
      <c r="S584" s="3">
        <v>3</v>
      </c>
      <c r="T584" s="3">
        <v>191.59</v>
      </c>
      <c r="U584" s="3">
        <v>360.97</v>
      </c>
      <c r="V584" s="26">
        <v>-0.41815306287307002</v>
      </c>
      <c r="W584" s="18">
        <v>-0.95392098223753496</v>
      </c>
      <c r="X584" s="18">
        <v>-0.44905816520035802</v>
      </c>
      <c r="Y584" s="18">
        <v>-0.214772502867</v>
      </c>
      <c r="Z584" s="18">
        <v>0.24748575754510299</v>
      </c>
      <c r="AA584" s="18">
        <v>0.56819025876220297</v>
      </c>
      <c r="AB584" s="18">
        <v>1.1280541452880199</v>
      </c>
      <c r="AC584" s="18">
        <v>0.46998775431638301</v>
      </c>
      <c r="AD584" s="18">
        <v>-0.59326971381929205</v>
      </c>
      <c r="AE584" s="21">
        <v>-0.64129975968431296</v>
      </c>
      <c r="AF584" s="3">
        <v>8.5026000000000004E-2</v>
      </c>
      <c r="AG584" s="3">
        <v>0.116567</v>
      </c>
      <c r="AH584" s="3">
        <v>4.1852799999999997</v>
      </c>
      <c r="AI584" s="3">
        <v>56.683999999999997</v>
      </c>
      <c r="AJ584" s="3">
        <v>0.13053100000000001</v>
      </c>
      <c r="AK584" s="3">
        <v>-0.59903200000000001</v>
      </c>
      <c r="AL584" s="3">
        <v>0</v>
      </c>
      <c r="AM584" s="3">
        <v>0</v>
      </c>
      <c r="AN584" s="3">
        <v>-0.47893400000000003</v>
      </c>
      <c r="AO584" s="3">
        <v>5.9943299999999997</v>
      </c>
      <c r="AP584" s="3">
        <v>0.23339399999999999</v>
      </c>
      <c r="AQ584" s="3">
        <v>2.1822400000000002</v>
      </c>
      <c r="AR584" s="3">
        <v>3.1530499999999999</v>
      </c>
      <c r="AS584" s="3">
        <v>3.09089E-2</v>
      </c>
      <c r="AT584" s="3">
        <v>1.6611800000000001</v>
      </c>
      <c r="AU584" s="3">
        <v>5.1157300000000001</v>
      </c>
      <c r="AV584" s="3">
        <v>0.42166900000000002</v>
      </c>
      <c r="AW584" s="3">
        <v>1.45286</v>
      </c>
      <c r="AX584" s="3">
        <v>0</v>
      </c>
      <c r="AY584" s="3">
        <v>6.3805100000000003E-2</v>
      </c>
      <c r="AZ584" s="21">
        <v>-0.48369899999999999</v>
      </c>
      <c r="BA584" s="3">
        <v>169.38</v>
      </c>
      <c r="BB584" s="3">
        <v>2</v>
      </c>
    </row>
    <row r="585" spans="1:54" ht="78.75" customHeight="1" x14ac:dyDescent="0.25">
      <c r="A585" s="2">
        <v>583</v>
      </c>
      <c r="B585" s="3">
        <v>16</v>
      </c>
      <c r="C585" s="2">
        <v>2</v>
      </c>
      <c r="D585" s="9">
        <v>69</v>
      </c>
      <c r="E585" s="3" t="s">
        <v>16</v>
      </c>
      <c r="F585" s="3">
        <f t="shared" si="78"/>
        <v>1</v>
      </c>
      <c r="G585" s="12"/>
      <c r="H585" s="3" t="s">
        <v>17</v>
      </c>
      <c r="I585" s="3">
        <f t="shared" si="76"/>
        <v>1</v>
      </c>
      <c r="J585" s="3" t="s">
        <v>20</v>
      </c>
      <c r="K585" s="3">
        <v>3</v>
      </c>
      <c r="L585" s="6" t="s">
        <v>196</v>
      </c>
      <c r="M585" s="3">
        <v>72</v>
      </c>
      <c r="N585" s="3">
        <f t="shared" si="77"/>
        <v>0.72</v>
      </c>
      <c r="O585" s="3">
        <v>55</v>
      </c>
      <c r="P585" s="3">
        <v>0.55000000000000004</v>
      </c>
      <c r="Q585" s="17">
        <v>0.23666666666666661</v>
      </c>
      <c r="R585" s="21">
        <v>5.1854497287013482E-2</v>
      </c>
      <c r="S585" s="3">
        <v>4</v>
      </c>
      <c r="T585" s="3">
        <v>360.97</v>
      </c>
      <c r="U585" s="3">
        <v>426.15</v>
      </c>
      <c r="V585" s="26">
        <v>0.31259805745302199</v>
      </c>
      <c r="W585" s="18">
        <v>0.52337965102687001</v>
      </c>
      <c r="X585" s="18">
        <v>-0.18015736031322799</v>
      </c>
      <c r="Y585" s="18">
        <v>-0.54718752119960801</v>
      </c>
      <c r="Z585" s="18">
        <v>0.56106834699534402</v>
      </c>
      <c r="AA585" s="18">
        <v>0.33893337578842703</v>
      </c>
      <c r="AB585" s="18">
        <v>1.5898784363677401</v>
      </c>
      <c r="AC585" s="18">
        <v>-0.97072325254349301</v>
      </c>
      <c r="AD585" s="18">
        <v>0.22705630975211599</v>
      </c>
      <c r="AE585" s="21">
        <v>-0.15692362219088499</v>
      </c>
      <c r="AF585" s="3">
        <v>0</v>
      </c>
      <c r="AG585" s="3">
        <v>0.26197500000000001</v>
      </c>
      <c r="AH585" s="3">
        <v>-0.239953</v>
      </c>
      <c r="AI585" s="3">
        <v>56.3904</v>
      </c>
      <c r="AJ585" s="3">
        <v>0.24628700000000001</v>
      </c>
      <c r="AK585" s="3">
        <v>-1.9778E-2</v>
      </c>
      <c r="AL585" s="3">
        <v>0</v>
      </c>
      <c r="AM585" s="3">
        <v>5.8983599999999997E-2</v>
      </c>
      <c r="AN585" s="3">
        <v>-0.37275999999999998</v>
      </c>
      <c r="AO585" s="3">
        <v>9.2265200000000007</v>
      </c>
      <c r="AP585" s="3">
        <v>0.20031399999999999</v>
      </c>
      <c r="AQ585" s="3">
        <v>1.58894</v>
      </c>
      <c r="AR585" s="3">
        <v>1.9521200000000001</v>
      </c>
      <c r="AS585" s="3">
        <v>6.3494999999999996E-2</v>
      </c>
      <c r="AT585" s="3">
        <v>1.8226500000000001</v>
      </c>
      <c r="AU585" s="3">
        <v>7.8821399999999997</v>
      </c>
      <c r="AV585" s="3">
        <v>8.4669999999999995E-2</v>
      </c>
      <c r="AW585" s="3">
        <v>0.66761300000000001</v>
      </c>
      <c r="AX585" s="3">
        <v>0.128913</v>
      </c>
      <c r="AY585" s="3">
        <v>1.0287999999999999</v>
      </c>
      <c r="AZ585" s="21">
        <v>9.9277899999999999</v>
      </c>
      <c r="BA585" s="3">
        <v>65.180000000000007</v>
      </c>
      <c r="BB585" s="3">
        <v>3</v>
      </c>
    </row>
    <row r="586" spans="1:54" ht="110.25" customHeight="1" x14ac:dyDescent="0.25">
      <c r="A586" s="2">
        <v>584</v>
      </c>
      <c r="B586" s="3">
        <v>16</v>
      </c>
      <c r="C586" s="2">
        <v>2</v>
      </c>
      <c r="D586" s="9">
        <v>69</v>
      </c>
      <c r="E586" s="3" t="s">
        <v>16</v>
      </c>
      <c r="F586" s="3">
        <f t="shared" si="78"/>
        <v>1</v>
      </c>
      <c r="G586" s="12"/>
      <c r="H586" s="3" t="s">
        <v>17</v>
      </c>
      <c r="I586" s="3">
        <f t="shared" si="76"/>
        <v>1</v>
      </c>
      <c r="J586" s="3" t="s">
        <v>21</v>
      </c>
      <c r="K586" s="3">
        <v>4</v>
      </c>
      <c r="L586" s="6" t="s">
        <v>226</v>
      </c>
      <c r="M586" s="3">
        <v>72</v>
      </c>
      <c r="N586" s="3">
        <f t="shared" si="77"/>
        <v>0.72</v>
      </c>
      <c r="O586" s="3">
        <v>55</v>
      </c>
      <c r="P586" s="3">
        <v>0.55000000000000004</v>
      </c>
      <c r="Q586" s="17">
        <v>0.27458333333333329</v>
      </c>
      <c r="R586" s="21">
        <v>3.5944594710316149E-2</v>
      </c>
      <c r="S586" s="3">
        <v>5</v>
      </c>
      <c r="T586" s="3">
        <v>426.15</v>
      </c>
      <c r="U586" s="3">
        <v>529.41999999999996</v>
      </c>
      <c r="V586" s="26">
        <v>0.53907917986481402</v>
      </c>
      <c r="W586" s="18">
        <v>1.16035031497733</v>
      </c>
      <c r="X586" s="18">
        <v>0.248073645994699</v>
      </c>
      <c r="Y586" s="18">
        <v>-0.17250500145204301</v>
      </c>
      <c r="Z586" s="18">
        <v>0.74301711499839396</v>
      </c>
      <c r="AA586" s="18">
        <v>0.61534135941791201</v>
      </c>
      <c r="AB586" s="18">
        <v>-0.43854328572117901</v>
      </c>
      <c r="AC586" s="18">
        <v>-0.17314469596353599</v>
      </c>
      <c r="AD586" s="18">
        <v>-0.139889211505352</v>
      </c>
      <c r="AE586" s="21">
        <v>0.272247881985276</v>
      </c>
      <c r="AF586" s="3">
        <v>0.37194899999999997</v>
      </c>
      <c r="AG586" s="3">
        <v>4.9839000000000001E-2</v>
      </c>
      <c r="AH586" s="3">
        <v>4.0538100000000004</v>
      </c>
      <c r="AI586" s="3">
        <v>48.516100000000002</v>
      </c>
      <c r="AJ586" s="3">
        <v>0.29384199999999999</v>
      </c>
      <c r="AK586" s="3">
        <v>0.68776000000000004</v>
      </c>
      <c r="AL586" s="3">
        <v>0</v>
      </c>
      <c r="AM586" s="3">
        <v>0.13611000000000001</v>
      </c>
      <c r="AN586" s="3">
        <v>-6.5895400000000007E-2</v>
      </c>
      <c r="AO586" s="3">
        <v>12.390499999999999</v>
      </c>
      <c r="AP586" s="3">
        <v>6.6604099999999999E-2</v>
      </c>
      <c r="AQ586" s="3">
        <v>1.12296</v>
      </c>
      <c r="AR586" s="3">
        <v>6.05579</v>
      </c>
      <c r="AS586" s="3">
        <v>0.101078</v>
      </c>
      <c r="AT586" s="3">
        <v>2.0772499999999998</v>
      </c>
      <c r="AU586" s="3">
        <v>4.7307199999999998</v>
      </c>
      <c r="AV586" s="3">
        <v>0.15739800000000001</v>
      </c>
      <c r="AW586" s="3">
        <v>0.92118100000000003</v>
      </c>
      <c r="AX586" s="3">
        <v>8.13638E-2</v>
      </c>
      <c r="AY586" s="3">
        <v>1.9518000000000001E-2</v>
      </c>
      <c r="AZ586" s="21">
        <v>3.87575</v>
      </c>
      <c r="BA586" s="3">
        <v>103.27</v>
      </c>
      <c r="BB586" s="3">
        <v>4</v>
      </c>
    </row>
    <row r="587" spans="1:54" ht="57" customHeight="1" x14ac:dyDescent="0.25">
      <c r="A587" s="2">
        <v>585</v>
      </c>
      <c r="B587" s="3">
        <v>16</v>
      </c>
      <c r="C587" s="2">
        <v>2</v>
      </c>
      <c r="D587" s="9">
        <v>69</v>
      </c>
      <c r="E587" s="3" t="s">
        <v>16</v>
      </c>
      <c r="F587" s="3">
        <f t="shared" si="78"/>
        <v>1</v>
      </c>
      <c r="G587" s="11" t="s">
        <v>26</v>
      </c>
      <c r="H587" s="3" t="s">
        <v>26</v>
      </c>
      <c r="I587" s="3">
        <f t="shared" si="76"/>
        <v>2</v>
      </c>
      <c r="J587" s="3" t="s">
        <v>27</v>
      </c>
      <c r="K587" s="3">
        <v>1</v>
      </c>
      <c r="L587" s="6" t="s">
        <v>265</v>
      </c>
      <c r="M587" s="3">
        <v>68</v>
      </c>
      <c r="N587" s="3">
        <f t="shared" si="77"/>
        <v>0.68</v>
      </c>
      <c r="O587" s="3">
        <v>64</v>
      </c>
      <c r="P587" s="3">
        <v>0.64</v>
      </c>
      <c r="Q587" s="17">
        <v>0.2472993827160494</v>
      </c>
      <c r="R587" s="21">
        <v>0.27377317457073919</v>
      </c>
      <c r="S587" s="3">
        <v>2</v>
      </c>
      <c r="T587" s="3">
        <v>43.5</v>
      </c>
      <c r="U587" s="3">
        <v>228.41</v>
      </c>
      <c r="V587" s="26">
        <v>-0.107601118091502</v>
      </c>
      <c r="W587" s="18">
        <v>0.61231018185636799</v>
      </c>
      <c r="X587" s="18">
        <v>-0.119764149436856</v>
      </c>
      <c r="Y587" s="18">
        <v>0.96713402805322601</v>
      </c>
      <c r="Z587" s="18">
        <v>1.02152097410335</v>
      </c>
      <c r="AA587" s="18">
        <v>1.0365241620591801</v>
      </c>
      <c r="AB587" s="18">
        <v>0.59308673135762602</v>
      </c>
      <c r="AC587" s="18">
        <v>-0.798592477583148</v>
      </c>
      <c r="AD587" s="18">
        <v>-0.25099686439324198</v>
      </c>
      <c r="AE587" s="21">
        <v>-0.44897394038545202</v>
      </c>
      <c r="AF587" s="3">
        <v>0.201212</v>
      </c>
      <c r="AG587" s="3">
        <v>0.1226</v>
      </c>
      <c r="AH587" s="3">
        <v>5.0474399999999999</v>
      </c>
      <c r="AI587" s="3">
        <v>55.995199999999997</v>
      </c>
      <c r="AJ587" s="3">
        <v>0.17072100000000001</v>
      </c>
      <c r="AK587" s="3">
        <v>-0.15525600000000001</v>
      </c>
      <c r="AL587" s="3">
        <v>0</v>
      </c>
      <c r="AM587" s="3">
        <v>0.36288199999999998</v>
      </c>
      <c r="AN587" s="3">
        <v>1.64246</v>
      </c>
      <c r="AO587" s="3">
        <v>8.0549499999999998</v>
      </c>
      <c r="AP587" s="3">
        <v>0.169271</v>
      </c>
      <c r="AQ587" s="3">
        <v>2.0042399999999998</v>
      </c>
      <c r="AR587" s="3">
        <v>0.16875799999999999</v>
      </c>
      <c r="AS587" s="3">
        <v>4.0130600000000002E-2</v>
      </c>
      <c r="AT587" s="3">
        <v>2.34267</v>
      </c>
      <c r="AU587" s="3">
        <v>3.75162</v>
      </c>
      <c r="AV587" s="3">
        <v>3.3714500000000001E-2</v>
      </c>
      <c r="AW587" s="3">
        <v>0.77595700000000001</v>
      </c>
      <c r="AX587" s="3">
        <v>0</v>
      </c>
      <c r="AY587" s="3">
        <v>0</v>
      </c>
      <c r="AZ587" s="21">
        <v>-0.66773099999999996</v>
      </c>
      <c r="BA587" s="3">
        <v>184.90899999999999</v>
      </c>
      <c r="BB587" s="3">
        <v>1</v>
      </c>
    </row>
    <row r="588" spans="1:54" ht="157.5" customHeight="1" x14ac:dyDescent="0.25">
      <c r="A588" s="2">
        <v>586</v>
      </c>
      <c r="B588" s="3">
        <v>16</v>
      </c>
      <c r="C588" s="2">
        <v>2</v>
      </c>
      <c r="D588" s="9">
        <v>69</v>
      </c>
      <c r="E588" s="3" t="s">
        <v>16</v>
      </c>
      <c r="F588" s="3">
        <f t="shared" si="78"/>
        <v>1</v>
      </c>
      <c r="G588" s="12"/>
      <c r="H588" s="3" t="s">
        <v>26</v>
      </c>
      <c r="I588" s="3">
        <f t="shared" si="76"/>
        <v>2</v>
      </c>
      <c r="J588" s="3" t="s">
        <v>28</v>
      </c>
      <c r="K588" s="3">
        <v>2</v>
      </c>
      <c r="L588" s="6" t="s">
        <v>269</v>
      </c>
      <c r="M588" s="3">
        <v>68</v>
      </c>
      <c r="N588" s="3">
        <f t="shared" si="77"/>
        <v>0.68</v>
      </c>
      <c r="O588" s="3">
        <v>64</v>
      </c>
      <c r="P588" s="3">
        <v>0.64</v>
      </c>
      <c r="Q588" s="17">
        <v>0.33630952380952378</v>
      </c>
      <c r="R588" s="21">
        <v>0.33979499510723288</v>
      </c>
      <c r="S588" s="3">
        <v>3</v>
      </c>
      <c r="T588" s="3">
        <v>228.41</v>
      </c>
      <c r="U588" s="3">
        <v>324.97000000000003</v>
      </c>
      <c r="V588" s="26">
        <v>0.79242387381353097</v>
      </c>
      <c r="W588" s="18">
        <v>-0.69647609798132004</v>
      </c>
      <c r="X588" s="18">
        <v>-0.20893971977019199</v>
      </c>
      <c r="Y588" s="18">
        <v>1.2306055138184999</v>
      </c>
      <c r="Z588" s="18">
        <v>5.0300773331476402E-2</v>
      </c>
      <c r="AA588" s="18">
        <v>-0.41396788996513001</v>
      </c>
      <c r="AB588" s="18">
        <v>-0.359333790122219</v>
      </c>
      <c r="AC588" s="18">
        <v>-5.99628165375551E-2</v>
      </c>
      <c r="AD588" s="18">
        <v>-0.556663854304704</v>
      </c>
      <c r="AE588" s="21">
        <v>-1.2432083423048199</v>
      </c>
      <c r="AF588" s="3">
        <v>7.4580499999999994E-2</v>
      </c>
      <c r="AG588" s="3">
        <v>0.112428</v>
      </c>
      <c r="AH588" s="3">
        <v>4.98536</v>
      </c>
      <c r="AI588" s="3">
        <v>52.492199999999997</v>
      </c>
      <c r="AJ588" s="3">
        <v>0.186803</v>
      </c>
      <c r="AK588" s="3">
        <v>-0.54292499999999999</v>
      </c>
      <c r="AL588" s="3">
        <v>0</v>
      </c>
      <c r="AM588" s="3">
        <v>3.4121199999999997E-2</v>
      </c>
      <c r="AN588" s="3">
        <v>-0.398289</v>
      </c>
      <c r="AO588" s="3">
        <v>7.5699199999999998</v>
      </c>
      <c r="AP588" s="3">
        <v>1.6761600000000001E-2</v>
      </c>
      <c r="AQ588" s="3">
        <v>1.3652299999999999</v>
      </c>
      <c r="AR588" s="3">
        <v>1.14357</v>
      </c>
      <c r="AS588" s="3">
        <v>7.9222799999999996E-2</v>
      </c>
      <c r="AT588" s="3">
        <v>2.4159799999999998</v>
      </c>
      <c r="AU588" s="3">
        <v>5.3076400000000001</v>
      </c>
      <c r="AV588" s="3">
        <v>0.12285</v>
      </c>
      <c r="AW588" s="3">
        <v>0.97474499999999997</v>
      </c>
      <c r="AX588" s="3">
        <v>0.14916099999999999</v>
      </c>
      <c r="AY588" s="3">
        <v>0.974553</v>
      </c>
      <c r="AZ588" s="21">
        <v>12.3629</v>
      </c>
      <c r="BA588" s="3">
        <v>96.56</v>
      </c>
      <c r="BB588" s="3">
        <v>2</v>
      </c>
    </row>
    <row r="589" spans="1:54" ht="157.5" customHeight="1" x14ac:dyDescent="0.25">
      <c r="A589" s="2">
        <v>587</v>
      </c>
      <c r="B589" s="3">
        <v>16</v>
      </c>
      <c r="C589" s="2">
        <v>2</v>
      </c>
      <c r="D589" s="9">
        <v>69</v>
      </c>
      <c r="E589" s="3" t="s">
        <v>16</v>
      </c>
      <c r="F589" s="3">
        <f t="shared" si="78"/>
        <v>1</v>
      </c>
      <c r="G589" s="12"/>
      <c r="H589" s="3" t="s">
        <v>26</v>
      </c>
      <c r="I589" s="3">
        <f t="shared" si="76"/>
        <v>2</v>
      </c>
      <c r="J589" s="3" t="s">
        <v>29</v>
      </c>
      <c r="K589" s="3">
        <v>3</v>
      </c>
      <c r="L589" s="6" t="s">
        <v>210</v>
      </c>
      <c r="M589" s="3">
        <v>68</v>
      </c>
      <c r="N589" s="3">
        <f t="shared" si="77"/>
        <v>0.68</v>
      </c>
      <c r="O589" s="3">
        <v>64</v>
      </c>
      <c r="P589" s="3">
        <v>0.64</v>
      </c>
      <c r="Q589" s="17">
        <v>0.238875</v>
      </c>
      <c r="R589" s="21">
        <v>0.21249567222483781</v>
      </c>
      <c r="S589" s="3">
        <v>4</v>
      </c>
      <c r="T589" s="3">
        <v>324.97000000000003</v>
      </c>
      <c r="U589" s="3">
        <v>436.72</v>
      </c>
      <c r="V589" s="26">
        <v>0.92510894121396903</v>
      </c>
      <c r="W589" s="18">
        <v>0.428906407477948</v>
      </c>
      <c r="X589" s="18">
        <v>0.15045275186813101</v>
      </c>
      <c r="Y589" s="18">
        <v>1.10672641024786</v>
      </c>
      <c r="Z589" s="18">
        <v>0.44750538663511502</v>
      </c>
      <c r="AA589" s="18">
        <v>0.66552514954917796</v>
      </c>
      <c r="AB589" s="18">
        <v>0.90905808907514296</v>
      </c>
      <c r="AC589" s="18">
        <v>0.340889673096124</v>
      </c>
      <c r="AD589" s="18">
        <v>9.5981531203007293E-3</v>
      </c>
      <c r="AE589" s="21">
        <v>-0.84074875747572397</v>
      </c>
      <c r="AF589" s="3">
        <v>0.18259900000000001</v>
      </c>
      <c r="AG589" s="3">
        <v>0.114673</v>
      </c>
      <c r="AH589" s="3">
        <v>4.96936</v>
      </c>
      <c r="AI589" s="3">
        <v>56.111699999999999</v>
      </c>
      <c r="AJ589" s="3">
        <v>0.33213500000000001</v>
      </c>
      <c r="AK589" s="3">
        <v>-0.17114799999999999</v>
      </c>
      <c r="AL589" s="3">
        <v>0</v>
      </c>
      <c r="AM589" s="3">
        <v>0.10501199999999999</v>
      </c>
      <c r="AN589" s="3">
        <v>-8.5842600000000005E-2</v>
      </c>
      <c r="AO589" s="3">
        <v>7.4758300000000002</v>
      </c>
      <c r="AP589" s="3">
        <v>0.18088799999999999</v>
      </c>
      <c r="AQ589" s="3">
        <v>2.1092499999999998</v>
      </c>
      <c r="AR589" s="3">
        <v>0.32223400000000002</v>
      </c>
      <c r="AS589" s="3">
        <v>2.0655900000000001E-2</v>
      </c>
      <c r="AT589" s="3">
        <v>2.2715800000000002</v>
      </c>
      <c r="AU589" s="3">
        <v>3.9634800000000001</v>
      </c>
      <c r="AV589" s="3">
        <v>0.15551499999999999</v>
      </c>
      <c r="AW589" s="3">
        <v>1.0341499999999999</v>
      </c>
      <c r="AX589" s="3">
        <v>0</v>
      </c>
      <c r="AY589" s="3">
        <v>0.100565</v>
      </c>
      <c r="AZ589" s="21">
        <v>-0.21346300000000001</v>
      </c>
      <c r="BA589" s="3">
        <v>111.75</v>
      </c>
      <c r="BB589" s="3">
        <v>3</v>
      </c>
    </row>
    <row r="590" spans="1:54" ht="126" customHeight="1" x14ac:dyDescent="0.25">
      <c r="A590" s="2">
        <v>588</v>
      </c>
      <c r="B590" s="3">
        <v>16</v>
      </c>
      <c r="C590" s="2">
        <v>2</v>
      </c>
      <c r="D590" s="9">
        <v>69</v>
      </c>
      <c r="E590" s="3" t="s">
        <v>16</v>
      </c>
      <c r="F590" s="3">
        <f t="shared" si="78"/>
        <v>1</v>
      </c>
      <c r="G590" s="12"/>
      <c r="H590" s="3" t="s">
        <v>26</v>
      </c>
      <c r="I590" s="3">
        <f t="shared" si="76"/>
        <v>2</v>
      </c>
      <c r="J590" s="3" t="s">
        <v>30</v>
      </c>
      <c r="K590" s="3">
        <v>4</v>
      </c>
      <c r="L590" s="6" t="s">
        <v>234</v>
      </c>
      <c r="M590" s="3">
        <v>68</v>
      </c>
      <c r="N590" s="3">
        <f t="shared" si="77"/>
        <v>0.68</v>
      </c>
      <c r="O590" s="3">
        <v>64</v>
      </c>
      <c r="P590" s="3">
        <v>0.64</v>
      </c>
      <c r="Q590" s="17">
        <v>0.18408068783068779</v>
      </c>
      <c r="R590" s="21">
        <v>0.16335654812243941</v>
      </c>
      <c r="S590" s="3">
        <v>5</v>
      </c>
      <c r="T590" s="3">
        <v>436.72</v>
      </c>
      <c r="U590" s="3">
        <v>547.78</v>
      </c>
      <c r="V590" s="26">
        <v>0.62419880183318899</v>
      </c>
      <c r="W590" s="18">
        <v>-0.31710035987342799</v>
      </c>
      <c r="X590" s="18">
        <v>-0.13612389711238601</v>
      </c>
      <c r="Y590" s="18">
        <v>-2.0077915830634101</v>
      </c>
      <c r="Z590" s="18">
        <v>8.4848007762433397E-2</v>
      </c>
      <c r="AA590" s="18">
        <v>-0.241610038104216</v>
      </c>
      <c r="AB590" s="18">
        <v>-1.1842738214203601</v>
      </c>
      <c r="AC590" s="18">
        <v>-0.82452999161826901</v>
      </c>
      <c r="AD590" s="18">
        <v>1.34837280373753</v>
      </c>
      <c r="AE590" s="21">
        <v>-0.99567788968869597</v>
      </c>
      <c r="AF590" s="3">
        <v>0</v>
      </c>
      <c r="AG590" s="3">
        <v>0.34692000000000001</v>
      </c>
      <c r="AH590" s="3">
        <v>0.16578599999999999</v>
      </c>
      <c r="AI590" s="3">
        <v>57.179400000000001</v>
      </c>
      <c r="AJ590" s="3">
        <v>0.248922</v>
      </c>
      <c r="AK590" s="3">
        <v>-0.170795</v>
      </c>
      <c r="AL590" s="3">
        <v>0</v>
      </c>
      <c r="AM590" s="3">
        <v>0.116443</v>
      </c>
      <c r="AN590" s="3">
        <v>-0.17957699999999999</v>
      </c>
      <c r="AO590" s="3">
        <v>4.4416399999999996</v>
      </c>
      <c r="AP590" s="3">
        <v>0.102523</v>
      </c>
      <c r="AQ590" s="3">
        <v>1.7537499999999999</v>
      </c>
      <c r="AR590" s="3">
        <v>0.983429</v>
      </c>
      <c r="AS590" s="3">
        <v>0.33249400000000001</v>
      </c>
      <c r="AT590" s="3">
        <v>3.9784600000000001</v>
      </c>
      <c r="AU590" s="3">
        <v>6.1383299999999998</v>
      </c>
      <c r="AV590" s="3">
        <v>0.112096</v>
      </c>
      <c r="AW590" s="3">
        <v>0.91261599999999998</v>
      </c>
      <c r="AX590" s="3">
        <v>0</v>
      </c>
      <c r="AY590" s="3">
        <v>1.5624300000000001E-2</v>
      </c>
      <c r="AZ590" s="21">
        <v>-0.64246700000000001</v>
      </c>
      <c r="BA590" s="3">
        <v>111.06</v>
      </c>
      <c r="BB590" s="3">
        <v>4</v>
      </c>
    </row>
    <row r="591" spans="1:54" ht="173.25" customHeight="1" x14ac:dyDescent="0.25">
      <c r="A591" s="2">
        <v>589</v>
      </c>
      <c r="B591" s="3">
        <v>16</v>
      </c>
      <c r="C591" s="2">
        <v>2</v>
      </c>
      <c r="D591" s="9">
        <v>69</v>
      </c>
      <c r="E591" s="3" t="s">
        <v>16</v>
      </c>
      <c r="F591" s="3">
        <f>IF(E592="Happy", 1,2)</f>
        <v>1</v>
      </c>
      <c r="G591" s="11" t="s">
        <v>38</v>
      </c>
      <c r="H591" s="3" t="s">
        <v>38</v>
      </c>
      <c r="I591" s="3">
        <f t="shared" si="76"/>
        <v>3</v>
      </c>
      <c r="J591" s="3" t="s">
        <v>39</v>
      </c>
      <c r="K591" s="3">
        <v>1</v>
      </c>
      <c r="L591" s="6" t="s">
        <v>289</v>
      </c>
      <c r="M591" s="3">
        <v>65</v>
      </c>
      <c r="N591" s="3">
        <f t="shared" si="77"/>
        <v>0.65</v>
      </c>
      <c r="O591" s="3">
        <v>68</v>
      </c>
      <c r="P591" s="3">
        <v>0.68</v>
      </c>
      <c r="Q591" s="17">
        <v>0.19518518518518521</v>
      </c>
      <c r="R591" s="21">
        <v>0.23703691044556799</v>
      </c>
      <c r="S591" s="3">
        <v>2</v>
      </c>
      <c r="T591" s="3">
        <v>49.73</v>
      </c>
      <c r="U591" s="3">
        <v>244.64</v>
      </c>
      <c r="V591" s="26">
        <v>-0.87904089557245602</v>
      </c>
      <c r="W591" s="18">
        <v>-0.16368725081444299</v>
      </c>
      <c r="X591" s="18">
        <v>-0.33813131322206602</v>
      </c>
      <c r="Y591" s="18">
        <v>-0.468742936441016</v>
      </c>
      <c r="Z591" s="18">
        <v>-0.84030921376816603</v>
      </c>
      <c r="AA591" s="18">
        <v>-0.55513236436315405</v>
      </c>
      <c r="AB591" s="18">
        <v>-0.63223390132695101</v>
      </c>
      <c r="AC591" s="18">
        <v>-0.93240647044615599</v>
      </c>
      <c r="AD591" s="18">
        <v>1.8789932822201798E-2</v>
      </c>
      <c r="AE591" s="21">
        <v>1.4920921988345299</v>
      </c>
      <c r="AF591" s="3">
        <v>0.36945800000000001</v>
      </c>
      <c r="AG591" s="3">
        <v>9.9483500000000002E-2</v>
      </c>
      <c r="AH591" s="3">
        <v>4.7927299999999997</v>
      </c>
      <c r="AI591" s="3">
        <v>54.636699999999998</v>
      </c>
      <c r="AJ591" s="3">
        <v>0.25440099999999999</v>
      </c>
      <c r="AK591" s="3">
        <v>0.437197</v>
      </c>
      <c r="AL591" s="3">
        <v>0</v>
      </c>
      <c r="AM591" s="3">
        <v>8.9969800000000003E-2</v>
      </c>
      <c r="AN591" s="3">
        <v>-0.19214700000000001</v>
      </c>
      <c r="AO591" s="3">
        <v>6.5517200000000004</v>
      </c>
      <c r="AP591" s="3">
        <v>8.68646E-2</v>
      </c>
      <c r="AQ591" s="3">
        <v>1.74939</v>
      </c>
      <c r="AR591" s="3">
        <v>2.77094</v>
      </c>
      <c r="AS591" s="3">
        <v>0.13104099999999999</v>
      </c>
      <c r="AT591" s="3">
        <v>2.3300100000000001</v>
      </c>
      <c r="AU591" s="3">
        <v>10.6404</v>
      </c>
      <c r="AV591" s="3">
        <v>0.116067</v>
      </c>
      <c r="AW591" s="3">
        <v>0.78990800000000005</v>
      </c>
      <c r="AX591" s="3">
        <v>0.141626</v>
      </c>
      <c r="AY591" s="3">
        <v>0.156557</v>
      </c>
      <c r="AZ591" s="21">
        <v>4.6390200000000004</v>
      </c>
      <c r="BA591" s="3">
        <v>194.91</v>
      </c>
      <c r="BB591" s="3">
        <v>1</v>
      </c>
    </row>
    <row r="592" spans="1:54" ht="141.75" customHeight="1" x14ac:dyDescent="0.25">
      <c r="A592" s="2">
        <v>590</v>
      </c>
      <c r="B592" s="3">
        <v>16</v>
      </c>
      <c r="C592" s="2">
        <v>2</v>
      </c>
      <c r="D592" s="9">
        <v>69</v>
      </c>
      <c r="E592" s="3" t="s">
        <v>16</v>
      </c>
      <c r="F592" s="3">
        <f>IF(E593="Happy", 1,2)</f>
        <v>1</v>
      </c>
      <c r="G592" s="12"/>
      <c r="H592" s="3" t="s">
        <v>38</v>
      </c>
      <c r="I592" s="3">
        <f t="shared" si="76"/>
        <v>3</v>
      </c>
      <c r="J592" s="3" t="s">
        <v>40</v>
      </c>
      <c r="K592" s="3">
        <v>2</v>
      </c>
      <c r="L592" s="6" t="s">
        <v>187</v>
      </c>
      <c r="M592" s="3">
        <v>65</v>
      </c>
      <c r="N592" s="3">
        <f t="shared" si="77"/>
        <v>0.65</v>
      </c>
      <c r="O592" s="3">
        <v>68</v>
      </c>
      <c r="P592" s="3">
        <v>0.68</v>
      </c>
      <c r="Q592" s="17">
        <v>0.23453703703703699</v>
      </c>
      <c r="R592" s="21">
        <v>0.38748210333025002</v>
      </c>
      <c r="S592" s="3">
        <v>3</v>
      </c>
      <c r="T592" s="3">
        <v>244.64</v>
      </c>
      <c r="U592" s="3">
        <v>354.35</v>
      </c>
      <c r="V592" s="26">
        <v>1.1636989317187201</v>
      </c>
      <c r="W592" s="18">
        <v>-0.39283605707945402</v>
      </c>
      <c r="X592" s="18">
        <v>-3.57726605867386E-2</v>
      </c>
      <c r="Y592" s="18">
        <v>0.69659765732521695</v>
      </c>
      <c r="Z592" s="18">
        <v>-0.72143129426471297</v>
      </c>
      <c r="AA592" s="18">
        <v>-0.36096803103512698</v>
      </c>
      <c r="AB592" s="18">
        <v>-1.11806369599629</v>
      </c>
      <c r="AC592" s="18">
        <v>1.2775876231371801</v>
      </c>
      <c r="AD592" s="18">
        <v>-9.1350164307594101E-2</v>
      </c>
      <c r="AE592" s="21">
        <v>0.799363090434007</v>
      </c>
      <c r="AF592" s="3">
        <v>0</v>
      </c>
      <c r="AG592" s="3">
        <v>0.31878200000000001</v>
      </c>
      <c r="AH592" s="3">
        <v>2.1542700000000001E-2</v>
      </c>
      <c r="AI592" s="3">
        <v>56.0182</v>
      </c>
      <c r="AJ592" s="3">
        <v>0.25533899999999998</v>
      </c>
      <c r="AK592" s="3">
        <v>8.7606199999999995E-2</v>
      </c>
      <c r="AL592" s="3">
        <v>0</v>
      </c>
      <c r="AM592" s="3">
        <v>0.24559800000000001</v>
      </c>
      <c r="AN592" s="3">
        <v>0.34256999999999999</v>
      </c>
      <c r="AO592" s="3">
        <v>4.1896100000000001</v>
      </c>
      <c r="AP592" s="3">
        <v>0.33399899999999999</v>
      </c>
      <c r="AQ592" s="3">
        <v>2.9813200000000002</v>
      </c>
      <c r="AR592" s="3">
        <v>6.9899699999999996</v>
      </c>
      <c r="AS592" s="3">
        <v>0.116133</v>
      </c>
      <c r="AT592" s="3">
        <v>2.2404199999999999</v>
      </c>
      <c r="AU592" s="3">
        <v>10.9499</v>
      </c>
      <c r="AV592" s="3">
        <v>4.5355699999999999E-2</v>
      </c>
      <c r="AW592" s="3">
        <v>0.55507399999999996</v>
      </c>
      <c r="AX592" s="3">
        <v>0</v>
      </c>
      <c r="AY592" s="3">
        <v>0</v>
      </c>
      <c r="AZ592" s="21">
        <v>-0.615842</v>
      </c>
      <c r="BA592" s="3">
        <v>109.71</v>
      </c>
      <c r="BB592" s="3">
        <v>2</v>
      </c>
    </row>
    <row r="593" spans="1:54" ht="126" customHeight="1" x14ac:dyDescent="0.25">
      <c r="A593" s="2">
        <v>591</v>
      </c>
      <c r="B593" s="3">
        <v>16</v>
      </c>
      <c r="C593" s="2">
        <v>2</v>
      </c>
      <c r="D593" s="9">
        <v>69</v>
      </c>
      <c r="E593" s="3" t="s">
        <v>16</v>
      </c>
      <c r="F593" s="3">
        <f t="shared" ref="F593:F600" si="79">IF(E593="Happy", 1,2)</f>
        <v>1</v>
      </c>
      <c r="G593" s="12"/>
      <c r="H593" s="3" t="s">
        <v>38</v>
      </c>
      <c r="I593" s="3">
        <f t="shared" si="76"/>
        <v>3</v>
      </c>
      <c r="J593" s="3" t="s">
        <v>41</v>
      </c>
      <c r="K593" s="3">
        <v>3</v>
      </c>
      <c r="L593" s="6" t="s">
        <v>290</v>
      </c>
      <c r="M593" s="3">
        <v>65</v>
      </c>
      <c r="N593" s="3">
        <f t="shared" si="77"/>
        <v>0.65</v>
      </c>
      <c r="O593" s="3">
        <v>68</v>
      </c>
      <c r="P593" s="3">
        <v>0.68</v>
      </c>
      <c r="Q593" s="17">
        <v>0.13162946428571429</v>
      </c>
      <c r="R593" s="21">
        <v>0.2018522077987398</v>
      </c>
      <c r="S593" s="3">
        <v>4</v>
      </c>
      <c r="T593" s="3">
        <v>354.35</v>
      </c>
      <c r="U593" s="3">
        <v>481</v>
      </c>
      <c r="V593" s="26">
        <v>0.277773143508525</v>
      </c>
      <c r="W593" s="18">
        <v>-0.83068388398701098</v>
      </c>
      <c r="X593" s="18">
        <v>-0.22555822538550499</v>
      </c>
      <c r="Y593" s="18">
        <v>-1.47012947572734</v>
      </c>
      <c r="Z593" s="18">
        <v>-1.9633600807314899</v>
      </c>
      <c r="AA593" s="18">
        <v>-2.3736629463141798</v>
      </c>
      <c r="AB593" s="18">
        <v>-9.8393099478376198E-2</v>
      </c>
      <c r="AC593" s="18">
        <v>0.188212033662119</v>
      </c>
      <c r="AD593" s="18">
        <v>0.157795443401827</v>
      </c>
      <c r="AE593" s="21">
        <v>1.7182531159730099</v>
      </c>
      <c r="AF593" s="3">
        <v>8.5294599999999998E-2</v>
      </c>
      <c r="AG593" s="3">
        <v>0.13239300000000001</v>
      </c>
      <c r="AH593" s="3">
        <v>4.9122599999999998</v>
      </c>
      <c r="AI593" s="3">
        <v>54.560099999999998</v>
      </c>
      <c r="AJ593" s="3">
        <v>0.19269700000000001</v>
      </c>
      <c r="AK593" s="3">
        <v>-0.50764299999999996</v>
      </c>
      <c r="AL593" s="3">
        <v>0</v>
      </c>
      <c r="AM593" s="3">
        <v>0.37313099999999999</v>
      </c>
      <c r="AN593" s="3">
        <v>2.6162800000000002</v>
      </c>
      <c r="AO593" s="3">
        <v>6.6624499999999998</v>
      </c>
      <c r="AP593" s="3">
        <v>0.244085</v>
      </c>
      <c r="AQ593" s="3">
        <v>2.1316199999999998</v>
      </c>
      <c r="AR593" s="3">
        <v>5.2787899999999999</v>
      </c>
      <c r="AS593" s="3">
        <v>0.185947</v>
      </c>
      <c r="AT593" s="3">
        <v>2.6404700000000001</v>
      </c>
      <c r="AU593" s="3">
        <v>9.2781599999999997</v>
      </c>
      <c r="AV593" s="3">
        <v>0.246946</v>
      </c>
      <c r="AW593" s="3">
        <v>0.83848800000000001</v>
      </c>
      <c r="AX593" s="3">
        <v>0</v>
      </c>
      <c r="AY593" s="3">
        <v>0.145812</v>
      </c>
      <c r="AZ593" s="21">
        <v>0.64735100000000001</v>
      </c>
      <c r="BA593" s="3">
        <v>126.65</v>
      </c>
      <c r="BB593" s="3">
        <v>3</v>
      </c>
    </row>
    <row r="594" spans="1:54" ht="157.5" customHeight="1" x14ac:dyDescent="0.25">
      <c r="A594" s="2">
        <v>592</v>
      </c>
      <c r="B594" s="3">
        <v>16</v>
      </c>
      <c r="C594" s="2">
        <v>2</v>
      </c>
      <c r="D594" s="9">
        <v>69</v>
      </c>
      <c r="E594" s="3" t="s">
        <v>53</v>
      </c>
      <c r="F594" s="3">
        <f t="shared" si="79"/>
        <v>2</v>
      </c>
      <c r="G594" s="11" t="s">
        <v>54</v>
      </c>
      <c r="H594" s="3" t="s">
        <v>54</v>
      </c>
      <c r="I594" s="3">
        <f t="shared" si="76"/>
        <v>1</v>
      </c>
      <c r="J594" s="3" t="s">
        <v>55</v>
      </c>
      <c r="K594" s="3">
        <v>1</v>
      </c>
      <c r="L594" s="6" t="s">
        <v>231</v>
      </c>
      <c r="M594" s="3">
        <v>-46</v>
      </c>
      <c r="N594" s="3">
        <f t="shared" si="77"/>
        <v>-0.46</v>
      </c>
      <c r="O594" s="3">
        <v>-63</v>
      </c>
      <c r="P594" s="3">
        <v>-0.63</v>
      </c>
      <c r="Q594" s="17">
        <v>0.2756851851851852</v>
      </c>
      <c r="R594" s="21">
        <v>0.39746216141047491</v>
      </c>
      <c r="S594" s="3">
        <v>2</v>
      </c>
      <c r="T594" s="3">
        <v>62.97</v>
      </c>
      <c r="U594" s="3">
        <v>207.93</v>
      </c>
      <c r="V594" s="26">
        <v>-1.06330783414051</v>
      </c>
      <c r="W594" s="18">
        <v>-0.51700870875077198</v>
      </c>
      <c r="X594" s="18">
        <v>-0.39630054421944999</v>
      </c>
      <c r="Y594" s="18">
        <v>-0.45960730933403698</v>
      </c>
      <c r="Z594" s="18">
        <v>0.22817473932471799</v>
      </c>
      <c r="AA594" s="18">
        <v>1.04642228285231E-2</v>
      </c>
      <c r="AB594" s="18">
        <v>0.224944568004909</v>
      </c>
      <c r="AC594" s="18">
        <v>-1.6645517529829701</v>
      </c>
      <c r="AD594" s="18">
        <v>-0.31316232185083598</v>
      </c>
      <c r="AE594" s="21">
        <v>0.41471145183628499</v>
      </c>
      <c r="AF594" s="3">
        <v>0</v>
      </c>
      <c r="AG594" s="3">
        <v>0.243649</v>
      </c>
      <c r="AH594" s="3">
        <v>-0.336756</v>
      </c>
      <c r="AI594" s="3">
        <v>54.924799999999998</v>
      </c>
      <c r="AJ594" s="3">
        <v>0.13775499999999999</v>
      </c>
      <c r="AK594" s="3">
        <v>-0.98285500000000003</v>
      </c>
      <c r="AL594" s="3">
        <v>0</v>
      </c>
      <c r="AM594" s="3">
        <v>7.8981700000000002E-2</v>
      </c>
      <c r="AN594" s="3">
        <v>0.79658399999999996</v>
      </c>
      <c r="AO594" s="3">
        <v>13.685700000000001</v>
      </c>
      <c r="AP594" s="3">
        <v>0.24115200000000001</v>
      </c>
      <c r="AQ594" s="3">
        <v>2.6001699999999999</v>
      </c>
      <c r="AR594" s="3">
        <v>1.1591</v>
      </c>
      <c r="AS594" s="3">
        <v>2.5482399999999999E-2</v>
      </c>
      <c r="AT594" s="3">
        <v>2.4843999999999999</v>
      </c>
      <c r="AU594" s="3">
        <v>5.6299200000000003</v>
      </c>
      <c r="AV594" s="3">
        <v>0.28958200000000001</v>
      </c>
      <c r="AW594" s="3">
        <v>1.87185</v>
      </c>
      <c r="AX594" s="3">
        <v>0.28149600000000002</v>
      </c>
      <c r="AY594" s="3">
        <v>0.50935799999999998</v>
      </c>
      <c r="AZ594" s="21">
        <v>7.2968000000000002</v>
      </c>
      <c r="BA594" s="3">
        <v>144.96100000000001</v>
      </c>
      <c r="BB594" s="3">
        <v>1</v>
      </c>
    </row>
    <row r="595" spans="1:54" ht="94.5" customHeight="1" x14ac:dyDescent="0.25">
      <c r="A595" s="2">
        <v>593</v>
      </c>
      <c r="B595" s="3">
        <v>16</v>
      </c>
      <c r="C595" s="2">
        <v>2</v>
      </c>
      <c r="D595" s="9">
        <v>69</v>
      </c>
      <c r="E595" s="3" t="s">
        <v>53</v>
      </c>
      <c r="F595" s="3">
        <f t="shared" si="79"/>
        <v>2</v>
      </c>
      <c r="G595" s="12"/>
      <c r="H595" s="3" t="s">
        <v>54</v>
      </c>
      <c r="I595" s="3">
        <f t="shared" si="76"/>
        <v>1</v>
      </c>
      <c r="J595" s="3" t="s">
        <v>56</v>
      </c>
      <c r="K595" s="3">
        <v>2</v>
      </c>
      <c r="L595" s="6" t="s">
        <v>173</v>
      </c>
      <c r="M595" s="3">
        <v>-46</v>
      </c>
      <c r="N595" s="3">
        <f t="shared" si="77"/>
        <v>-0.46</v>
      </c>
      <c r="O595" s="3">
        <v>-63</v>
      </c>
      <c r="P595" s="3">
        <v>-0.63</v>
      </c>
      <c r="Q595" s="17">
        <v>0.1197916666666667</v>
      </c>
      <c r="R595" s="21">
        <v>0.21856473636312301</v>
      </c>
      <c r="S595" s="3">
        <v>3</v>
      </c>
      <c r="T595" s="3">
        <v>207.93</v>
      </c>
      <c r="U595" s="3">
        <v>267.94</v>
      </c>
      <c r="V595" s="26">
        <v>-0.17008812144913299</v>
      </c>
      <c r="W595" s="18">
        <v>0.49980547001797798</v>
      </c>
      <c r="X595" s="18">
        <v>-4.70732444051511E-2</v>
      </c>
      <c r="Y595" s="18">
        <v>0.68076257033978904</v>
      </c>
      <c r="Z595" s="18">
        <v>1.8646506595235199</v>
      </c>
      <c r="AA595" s="18">
        <v>1.4230476564083501</v>
      </c>
      <c r="AB595" s="18">
        <v>-0.42389732865747698</v>
      </c>
      <c r="AC595" s="18">
        <v>-0.60641907814111895</v>
      </c>
      <c r="AD595" s="18">
        <v>-0.83717439450569897</v>
      </c>
      <c r="AE595" s="21">
        <v>-0.60924545646783601</v>
      </c>
      <c r="AF595" s="3">
        <v>0</v>
      </c>
      <c r="AG595" s="3">
        <v>0.33297500000000002</v>
      </c>
      <c r="AH595" s="3">
        <v>-1.84262E-2</v>
      </c>
      <c r="AI595" s="3">
        <v>57.4191</v>
      </c>
      <c r="AJ595" s="3">
        <v>0.30285899999999999</v>
      </c>
      <c r="AK595" s="3">
        <v>0.916937</v>
      </c>
      <c r="AL595" s="3">
        <v>0</v>
      </c>
      <c r="AM595" s="3">
        <v>2.3990299999999999E-2</v>
      </c>
      <c r="AN595" s="3">
        <v>-0.43527500000000002</v>
      </c>
      <c r="AO595" s="3">
        <v>17.986000000000001</v>
      </c>
      <c r="AP595" s="3">
        <v>0.168596</v>
      </c>
      <c r="AQ595" s="3">
        <v>1.5384800000000001</v>
      </c>
      <c r="AR595" s="3">
        <v>0</v>
      </c>
      <c r="AS595" s="3">
        <v>0.13062399999999999</v>
      </c>
      <c r="AT595" s="3">
        <v>-0.66292300000000004</v>
      </c>
      <c r="AU595" s="3">
        <v>1.6805600000000001</v>
      </c>
      <c r="AV595" s="3">
        <v>0.42314600000000002</v>
      </c>
      <c r="AW595" s="3">
        <v>2.5233500000000002</v>
      </c>
      <c r="AX595" s="3">
        <v>0</v>
      </c>
      <c r="AY595" s="3">
        <v>0.11996</v>
      </c>
      <c r="AZ595" s="21">
        <v>-0.42490299999999998</v>
      </c>
      <c r="BA595" s="3">
        <v>60.01</v>
      </c>
      <c r="BB595" s="3">
        <v>2</v>
      </c>
    </row>
    <row r="596" spans="1:54" ht="204.75" customHeight="1" x14ac:dyDescent="0.25">
      <c r="A596" s="2">
        <v>594</v>
      </c>
      <c r="B596" s="3">
        <v>16</v>
      </c>
      <c r="C596" s="2">
        <v>2</v>
      </c>
      <c r="D596" s="9">
        <v>69</v>
      </c>
      <c r="E596" s="3" t="s">
        <v>53</v>
      </c>
      <c r="F596" s="3">
        <f t="shared" si="79"/>
        <v>2</v>
      </c>
      <c r="G596" s="12"/>
      <c r="H596" s="3" t="s">
        <v>54</v>
      </c>
      <c r="I596" s="3">
        <f t="shared" si="76"/>
        <v>1</v>
      </c>
      <c r="J596" s="3" t="s">
        <v>57</v>
      </c>
      <c r="K596" s="3">
        <v>3</v>
      </c>
      <c r="L596" s="6" t="s">
        <v>281</v>
      </c>
      <c r="M596" s="3">
        <v>-46</v>
      </c>
      <c r="N596" s="3">
        <f t="shared" si="77"/>
        <v>-0.46</v>
      </c>
      <c r="O596" s="3">
        <v>-63</v>
      </c>
      <c r="P596" s="3">
        <v>-0.63</v>
      </c>
      <c r="Q596" s="17">
        <v>0.1131520655270655</v>
      </c>
      <c r="R596" s="21">
        <v>0.1650997178857716</v>
      </c>
      <c r="S596" s="3">
        <v>4</v>
      </c>
      <c r="T596" s="3">
        <v>267.94</v>
      </c>
      <c r="U596" s="3">
        <v>411</v>
      </c>
      <c r="V596" s="26">
        <v>0.15294215492034699</v>
      </c>
      <c r="W596" s="18">
        <v>-0.57721951475700795</v>
      </c>
      <c r="X596" s="18">
        <v>-0.294209383615958</v>
      </c>
      <c r="Y596" s="18">
        <v>0.64361102010474602</v>
      </c>
      <c r="Z596" s="18">
        <v>0.358391238333719</v>
      </c>
      <c r="AA596" s="18">
        <v>0.221380555164396</v>
      </c>
      <c r="AB596" s="18">
        <v>-1.60623337729711</v>
      </c>
      <c r="AC596" s="18">
        <v>-0.491468731849108</v>
      </c>
      <c r="AD596" s="18">
        <v>-0.60633171655357199</v>
      </c>
      <c r="AE596" s="21">
        <v>-0.42760440490780099</v>
      </c>
      <c r="AF596" s="3">
        <v>0</v>
      </c>
      <c r="AG596" s="3">
        <v>0.25428400000000001</v>
      </c>
      <c r="AH596" s="3">
        <v>-0.28203400000000001</v>
      </c>
      <c r="AI596" s="3">
        <v>53.355699999999999</v>
      </c>
      <c r="AJ596" s="3">
        <v>0.184307</v>
      </c>
      <c r="AK596" s="3">
        <v>-0.14182900000000001</v>
      </c>
      <c r="AL596" s="3">
        <v>0</v>
      </c>
      <c r="AM596" s="3">
        <v>9.3625700000000006E-2</v>
      </c>
      <c r="AN596" s="3">
        <v>-0.185471</v>
      </c>
      <c r="AO596" s="3">
        <v>18.624199999999998</v>
      </c>
      <c r="AP596" s="3">
        <v>9.3722E-2</v>
      </c>
      <c r="AQ596" s="3">
        <v>1.1108199999999999</v>
      </c>
      <c r="AR596" s="3">
        <v>0.94798700000000002</v>
      </c>
      <c r="AS596" s="3">
        <v>7.1020799999999995E-2</v>
      </c>
      <c r="AT596" s="3">
        <v>2.7734700000000001</v>
      </c>
      <c r="AU596" s="3">
        <v>4.9832200000000002</v>
      </c>
      <c r="AV596" s="3">
        <v>0.26954899999999998</v>
      </c>
      <c r="AW596" s="3">
        <v>2.5381</v>
      </c>
      <c r="AX596" s="3">
        <v>0</v>
      </c>
      <c r="AY596" s="3">
        <v>0.17194200000000001</v>
      </c>
      <c r="AZ596" s="21">
        <v>-0.19801299999999999</v>
      </c>
      <c r="BA596" s="3">
        <v>143.06</v>
      </c>
      <c r="BB596" s="3">
        <v>3</v>
      </c>
    </row>
    <row r="597" spans="1:54" ht="141.75" customHeight="1" x14ac:dyDescent="0.25">
      <c r="A597" s="2">
        <v>595</v>
      </c>
      <c r="B597" s="3">
        <v>16</v>
      </c>
      <c r="C597" s="2">
        <v>2</v>
      </c>
      <c r="D597" s="9">
        <v>69</v>
      </c>
      <c r="E597" s="3" t="s">
        <v>53</v>
      </c>
      <c r="F597" s="3">
        <f t="shared" si="79"/>
        <v>2</v>
      </c>
      <c r="G597" s="12"/>
      <c r="H597" s="3" t="s">
        <v>54</v>
      </c>
      <c r="I597" s="3">
        <f t="shared" si="76"/>
        <v>1</v>
      </c>
      <c r="J597" s="3" t="s">
        <v>58</v>
      </c>
      <c r="K597" s="3">
        <v>4</v>
      </c>
      <c r="L597" s="6" t="s">
        <v>226</v>
      </c>
      <c r="M597" s="3">
        <v>-46</v>
      </c>
      <c r="N597" s="3">
        <f t="shared" si="77"/>
        <v>-0.46</v>
      </c>
      <c r="O597" s="3">
        <v>-63</v>
      </c>
      <c r="P597" s="3">
        <v>-0.63</v>
      </c>
      <c r="Q597" s="17">
        <v>3.90625E-2</v>
      </c>
      <c r="R597" s="21">
        <v>0.46476333863322322</v>
      </c>
      <c r="S597" s="3">
        <v>5</v>
      </c>
      <c r="T597" s="3">
        <v>411</v>
      </c>
      <c r="U597" s="3">
        <v>514.30999999999995</v>
      </c>
      <c r="V597" s="26">
        <v>-1.44806235052318</v>
      </c>
      <c r="W597" s="18">
        <v>-1.0313071368934501</v>
      </c>
      <c r="X597" s="18">
        <v>-0.56691348408350395</v>
      </c>
      <c r="Y597" s="18">
        <v>-0.43902169625297799</v>
      </c>
      <c r="Z597" s="18">
        <v>0.89963124441874098</v>
      </c>
      <c r="AA597" s="18">
        <v>0.60140542920879703</v>
      </c>
      <c r="AB597" s="18">
        <v>0.54247585014341104</v>
      </c>
      <c r="AC597" s="18">
        <v>-1.42934565980085</v>
      </c>
      <c r="AD597" s="18">
        <v>-0.40483822993032198</v>
      </c>
      <c r="AE597" s="21">
        <v>-0.76239379405767005</v>
      </c>
      <c r="AF597" s="3">
        <v>0</v>
      </c>
      <c r="AG597" s="3">
        <v>0.266405</v>
      </c>
      <c r="AH597" s="3">
        <v>-0.18856600000000001</v>
      </c>
      <c r="AI597" s="3">
        <v>57.316600000000001</v>
      </c>
      <c r="AJ597" s="3">
        <v>0.28339500000000001</v>
      </c>
      <c r="AK597" s="3">
        <v>0.11425</v>
      </c>
      <c r="AL597" s="3">
        <v>0</v>
      </c>
      <c r="AM597" s="3">
        <v>0.101088</v>
      </c>
      <c r="AN597" s="3">
        <v>-0.24673300000000001</v>
      </c>
      <c r="AO597" s="3">
        <v>16.321400000000001</v>
      </c>
      <c r="AP597" s="3">
        <v>7.3899300000000001E-2</v>
      </c>
      <c r="AQ597" s="3">
        <v>1.0833600000000001</v>
      </c>
      <c r="AR597" s="3">
        <v>0</v>
      </c>
      <c r="AS597" s="3">
        <v>3.03223E-2</v>
      </c>
      <c r="AT597" s="3">
        <v>-0.60775599999999996</v>
      </c>
      <c r="AU597" s="3">
        <v>2.52081</v>
      </c>
      <c r="AV597" s="3">
        <v>8.8074600000000003E-2</v>
      </c>
      <c r="AW597" s="3">
        <v>1.65276</v>
      </c>
      <c r="AX597" s="3">
        <v>0</v>
      </c>
      <c r="AY597" s="3">
        <v>4.7409100000000003E-2</v>
      </c>
      <c r="AZ597" s="21">
        <v>-0.486259</v>
      </c>
      <c r="BA597" s="3">
        <v>103.31</v>
      </c>
      <c r="BB597" s="3">
        <v>4</v>
      </c>
    </row>
    <row r="598" spans="1:54" ht="220.5" customHeight="1" x14ac:dyDescent="0.25">
      <c r="A598" s="2">
        <v>596</v>
      </c>
      <c r="B598" s="3">
        <v>16</v>
      </c>
      <c r="C598" s="2">
        <v>2</v>
      </c>
      <c r="D598" s="9">
        <v>69</v>
      </c>
      <c r="E598" s="3" t="s">
        <v>53</v>
      </c>
      <c r="F598" s="3">
        <f t="shared" si="79"/>
        <v>2</v>
      </c>
      <c r="G598" s="12"/>
      <c r="H598" s="3" t="s">
        <v>54</v>
      </c>
      <c r="I598" s="3">
        <f t="shared" si="76"/>
        <v>1</v>
      </c>
      <c r="J598" s="3" t="s">
        <v>59</v>
      </c>
      <c r="K598" s="3">
        <v>5</v>
      </c>
      <c r="L598" s="6" t="s">
        <v>266</v>
      </c>
      <c r="M598" s="3">
        <v>-46</v>
      </c>
      <c r="N598" s="3">
        <f t="shared" si="77"/>
        <v>-0.46</v>
      </c>
      <c r="O598" s="3">
        <v>-63</v>
      </c>
      <c r="P598" s="3">
        <v>-0.63</v>
      </c>
      <c r="Q598" s="17">
        <v>2.8030303030303041E-2</v>
      </c>
      <c r="R598" s="21">
        <v>0.23638296346778989</v>
      </c>
      <c r="S598" s="3">
        <v>6</v>
      </c>
      <c r="T598" s="3">
        <v>514.30999999999995</v>
      </c>
      <c r="U598" s="3">
        <v>664.07</v>
      </c>
      <c r="V598" s="26">
        <v>-1.1713937836828201</v>
      </c>
      <c r="W598" s="18">
        <v>-0.30006622683443102</v>
      </c>
      <c r="X598" s="18">
        <v>-0.26371609881577901</v>
      </c>
      <c r="Y598" s="18">
        <v>0.55651804168487895</v>
      </c>
      <c r="Z598" s="18">
        <v>2.93952673681253E-2</v>
      </c>
      <c r="AA598" s="18">
        <v>0.17011366164899999</v>
      </c>
      <c r="AB598" s="18">
        <v>-0.74073531105331702</v>
      </c>
      <c r="AC598" s="18">
        <v>0.16109554171631099</v>
      </c>
      <c r="AD598" s="18">
        <v>3.4737702856858501</v>
      </c>
      <c r="AE598" s="21">
        <v>-1.4408765454731001</v>
      </c>
      <c r="AF598" s="3">
        <v>4.8083300000000002E-2</v>
      </c>
      <c r="AG598" s="3">
        <v>0.114441</v>
      </c>
      <c r="AH598" s="3">
        <v>4.8238500000000002</v>
      </c>
      <c r="AI598" s="3">
        <v>55.8889</v>
      </c>
      <c r="AJ598" s="3">
        <v>0.34039399999999997</v>
      </c>
      <c r="AK598" s="3">
        <v>0.202545</v>
      </c>
      <c r="AL598" s="3">
        <v>0</v>
      </c>
      <c r="AM598" s="3">
        <v>0.30900899999999998</v>
      </c>
      <c r="AN598" s="3">
        <v>1.64591</v>
      </c>
      <c r="AO598" s="3">
        <v>11.9808</v>
      </c>
      <c r="AP598" s="3">
        <v>0.12167799999999999</v>
      </c>
      <c r="AQ598" s="3">
        <v>1.39008</v>
      </c>
      <c r="AR598" s="3">
        <v>2.10765</v>
      </c>
      <c r="AS598" s="3">
        <v>0.17960000000000001</v>
      </c>
      <c r="AT598" s="3">
        <v>3.14798</v>
      </c>
      <c r="AU598" s="3">
        <v>4.8884699999999999</v>
      </c>
      <c r="AV598" s="3">
        <v>0.18482899999999999</v>
      </c>
      <c r="AW598" s="3">
        <v>1.77173</v>
      </c>
      <c r="AX598" s="3">
        <v>0.48884699999999998</v>
      </c>
      <c r="AY598" s="3">
        <v>1.05559</v>
      </c>
      <c r="AZ598" s="21">
        <v>10.386699999999999</v>
      </c>
      <c r="BA598" s="3">
        <v>149.76</v>
      </c>
      <c r="BB598" s="3">
        <v>5</v>
      </c>
    </row>
    <row r="599" spans="1:54" ht="189" customHeight="1" x14ac:dyDescent="0.25">
      <c r="A599" s="2">
        <v>597</v>
      </c>
      <c r="B599" s="3">
        <v>16</v>
      </c>
      <c r="C599" s="2">
        <v>2</v>
      </c>
      <c r="D599" s="9">
        <v>69</v>
      </c>
      <c r="E599" s="3" t="s">
        <v>53</v>
      </c>
      <c r="F599" s="3">
        <f t="shared" si="79"/>
        <v>2</v>
      </c>
      <c r="G599" s="11" t="s">
        <v>76</v>
      </c>
      <c r="H599" s="3" t="s">
        <v>76</v>
      </c>
      <c r="I599" s="3">
        <f t="shared" si="76"/>
        <v>2</v>
      </c>
      <c r="J599" s="3" t="s">
        <v>77</v>
      </c>
      <c r="K599" s="3">
        <v>1</v>
      </c>
      <c r="L599" s="6" t="s">
        <v>291</v>
      </c>
      <c r="M599" s="3">
        <v>-63</v>
      </c>
      <c r="N599" s="3">
        <f t="shared" si="77"/>
        <v>-0.63</v>
      </c>
      <c r="O599" s="3">
        <v>-33</v>
      </c>
      <c r="P599" s="3">
        <v>-0.33</v>
      </c>
      <c r="Q599" s="17">
        <v>-6.6759259259259228E-3</v>
      </c>
      <c r="R599" s="21">
        <v>0.37710299280311999</v>
      </c>
      <c r="S599" s="3">
        <v>2</v>
      </c>
      <c r="T599" s="3">
        <v>44.42</v>
      </c>
      <c r="U599" s="3">
        <v>197.29</v>
      </c>
      <c r="V599" s="26">
        <v>-1.49121807037021</v>
      </c>
      <c r="W599" s="18">
        <v>0.99143879264556001</v>
      </c>
      <c r="X599" s="18">
        <v>-0.12140815462323</v>
      </c>
      <c r="Y599" s="18">
        <v>0.19097114904429399</v>
      </c>
      <c r="Z599" s="18">
        <v>0.89041864857048503</v>
      </c>
      <c r="AA599" s="18">
        <v>0.97883085513129098</v>
      </c>
      <c r="AB599" s="18">
        <v>0.48727185813406898</v>
      </c>
      <c r="AC599" s="18">
        <v>-0.270999862550582</v>
      </c>
      <c r="AD599" s="18">
        <v>-0.58383604517786702</v>
      </c>
      <c r="AE599" s="21">
        <v>-0.16582759530657301</v>
      </c>
      <c r="AF599" s="3">
        <v>0.35326400000000002</v>
      </c>
      <c r="AG599" s="3">
        <v>6.0221799999999999E-2</v>
      </c>
      <c r="AH599" s="3">
        <v>4.0525799999999998</v>
      </c>
      <c r="AI599" s="3">
        <v>56.436</v>
      </c>
      <c r="AJ599" s="3">
        <v>0.37430400000000003</v>
      </c>
      <c r="AK599" s="3">
        <v>0.712557</v>
      </c>
      <c r="AL599" s="3">
        <v>0</v>
      </c>
      <c r="AM599" s="3">
        <v>0.22514200000000001</v>
      </c>
      <c r="AN599" s="3">
        <v>0.92067299999999996</v>
      </c>
      <c r="AO599" s="3">
        <v>7.2144399999999997</v>
      </c>
      <c r="AP599" s="3">
        <v>8.5801500000000003E-2</v>
      </c>
      <c r="AQ599" s="3">
        <v>1.41031</v>
      </c>
      <c r="AR599" s="3">
        <v>0.71437899999999999</v>
      </c>
      <c r="AS599" s="3">
        <v>0.20672499999999999</v>
      </c>
      <c r="AT599" s="3">
        <v>3.5784400000000001</v>
      </c>
      <c r="AU599" s="3">
        <v>3.3599399999999999</v>
      </c>
      <c r="AV599" s="3">
        <v>0.25566100000000003</v>
      </c>
      <c r="AW599" s="3">
        <v>1.79735</v>
      </c>
      <c r="AX599" s="3">
        <v>0</v>
      </c>
      <c r="AY599" s="3">
        <v>8.82801E-2</v>
      </c>
      <c r="AZ599" s="21">
        <v>0.43838199999999999</v>
      </c>
      <c r="BA599" s="3">
        <v>152.87</v>
      </c>
      <c r="BB599" s="3">
        <v>1</v>
      </c>
    </row>
    <row r="600" spans="1:54" ht="189" customHeight="1" x14ac:dyDescent="0.25">
      <c r="A600" s="2">
        <v>598</v>
      </c>
      <c r="B600" s="3">
        <v>16</v>
      </c>
      <c r="C600" s="2">
        <v>2</v>
      </c>
      <c r="D600" s="9">
        <v>69</v>
      </c>
      <c r="E600" s="3" t="s">
        <v>53</v>
      </c>
      <c r="F600" s="3">
        <f t="shared" si="79"/>
        <v>2</v>
      </c>
      <c r="G600" s="12"/>
      <c r="H600" s="3" t="s">
        <v>76</v>
      </c>
      <c r="I600" s="3">
        <f t="shared" si="76"/>
        <v>2</v>
      </c>
      <c r="J600" s="3" t="s">
        <v>78</v>
      </c>
      <c r="K600" s="3">
        <v>2</v>
      </c>
      <c r="L600" s="6" t="s">
        <v>292</v>
      </c>
      <c r="M600" s="3">
        <v>-63</v>
      </c>
      <c r="N600" s="3">
        <f t="shared" si="77"/>
        <v>-0.63</v>
      </c>
      <c r="O600" s="3">
        <v>-33</v>
      </c>
      <c r="P600" s="3">
        <v>-0.33</v>
      </c>
      <c r="Q600" s="17">
        <v>3.3730158730158728E-2</v>
      </c>
      <c r="R600" s="21">
        <v>0.15356697832032731</v>
      </c>
      <c r="S600" s="3">
        <v>3</v>
      </c>
      <c r="T600" s="3">
        <v>197.29</v>
      </c>
      <c r="U600" s="3">
        <v>320.56</v>
      </c>
      <c r="V600" s="26">
        <v>-5.76043644990447E-2</v>
      </c>
      <c r="W600" s="18">
        <v>0.38613572939143098</v>
      </c>
      <c r="X600" s="18">
        <v>-0.138869854214728</v>
      </c>
      <c r="Y600" s="18">
        <v>0.78003638490229199</v>
      </c>
      <c r="Z600" s="18">
        <v>0.69270216844253396</v>
      </c>
      <c r="AA600" s="18">
        <v>1.0328416105531399</v>
      </c>
      <c r="AB600" s="18">
        <v>1.1585593339650899</v>
      </c>
      <c r="AC600" s="18">
        <v>-0.47142610736742402</v>
      </c>
      <c r="AD600" s="18">
        <v>-0.45216783243046099</v>
      </c>
      <c r="AE600" s="21">
        <v>-0.92978848863260499</v>
      </c>
      <c r="AF600" s="3">
        <v>0</v>
      </c>
      <c r="AG600" s="3">
        <v>0.28658099999999997</v>
      </c>
      <c r="AH600" s="3">
        <v>-0.232929</v>
      </c>
      <c r="AI600" s="3">
        <v>52.278500000000001</v>
      </c>
      <c r="AJ600" s="3">
        <v>0.27682800000000002</v>
      </c>
      <c r="AK600" s="3">
        <v>2.38938E-2</v>
      </c>
      <c r="AL600" s="3">
        <v>0</v>
      </c>
      <c r="AM600" s="3">
        <v>0</v>
      </c>
      <c r="AN600" s="3">
        <v>-0.47594799999999998</v>
      </c>
      <c r="AO600" s="3">
        <v>13.008800000000001</v>
      </c>
      <c r="AP600" s="3">
        <v>8.7121500000000004E-2</v>
      </c>
      <c r="AQ600" s="3">
        <v>1.46617</v>
      </c>
      <c r="AR600" s="3">
        <v>1.68452</v>
      </c>
      <c r="AS600" s="3">
        <v>8.3811399999999994E-2</v>
      </c>
      <c r="AT600" s="3">
        <v>3.0247799999999998</v>
      </c>
      <c r="AU600" s="3">
        <v>3.39825</v>
      </c>
      <c r="AV600" s="3">
        <v>0.154667</v>
      </c>
      <c r="AW600" s="3">
        <v>1.3749899999999999</v>
      </c>
      <c r="AX600" s="3">
        <v>0</v>
      </c>
      <c r="AY600" s="3">
        <v>4.2490600000000003E-2</v>
      </c>
      <c r="AZ600" s="21">
        <v>-0.57679100000000005</v>
      </c>
      <c r="BA600" s="3">
        <v>123.26900000000001</v>
      </c>
      <c r="BB600" s="3">
        <v>2</v>
      </c>
    </row>
    <row r="601" spans="1:54" ht="78.75" customHeight="1" x14ac:dyDescent="0.25">
      <c r="A601" s="2">
        <v>599</v>
      </c>
      <c r="B601" s="3">
        <v>16</v>
      </c>
      <c r="C601" s="2">
        <v>2</v>
      </c>
      <c r="D601" s="9">
        <v>69</v>
      </c>
      <c r="E601" s="3" t="s">
        <v>53</v>
      </c>
      <c r="F601" s="3">
        <f>IF(E612="Happy", 1,2)</f>
        <v>1</v>
      </c>
      <c r="G601" s="12"/>
      <c r="H601" s="3" t="s">
        <v>76</v>
      </c>
      <c r="I601" s="3">
        <f t="shared" si="76"/>
        <v>2</v>
      </c>
      <c r="J601" s="3" t="s">
        <v>79</v>
      </c>
      <c r="K601" s="3">
        <v>3</v>
      </c>
      <c r="L601" s="6" t="s">
        <v>190</v>
      </c>
      <c r="M601" s="3">
        <v>-63</v>
      </c>
      <c r="N601" s="3">
        <f t="shared" si="77"/>
        <v>-0.63</v>
      </c>
      <c r="O601" s="3">
        <v>-33</v>
      </c>
      <c r="P601" s="3">
        <v>-0.33</v>
      </c>
      <c r="Q601" s="17">
        <v>9.3589743589743576E-2</v>
      </c>
      <c r="R601" s="21">
        <v>0</v>
      </c>
      <c r="S601" s="3">
        <v>4</v>
      </c>
      <c r="T601" s="3">
        <v>320.56</v>
      </c>
      <c r="U601" s="3">
        <v>363.74</v>
      </c>
      <c r="V601" s="26">
        <v>0.80666609563546099</v>
      </c>
      <c r="W601" s="18">
        <v>-1.3505868066787901</v>
      </c>
      <c r="X601" s="18">
        <v>-0.28139194290916703</v>
      </c>
      <c r="Y601" s="18">
        <v>-0.29967293078118801</v>
      </c>
      <c r="Z601" s="18">
        <v>0.57967070399663001</v>
      </c>
      <c r="AA601" s="18">
        <v>0.45489764478240702</v>
      </c>
      <c r="AB601" s="18">
        <v>-2.1687594559982601</v>
      </c>
      <c r="AC601" s="18">
        <v>-0.74612796055756303</v>
      </c>
      <c r="AD601" s="18">
        <v>-1.1788022067596799</v>
      </c>
      <c r="AE601" s="21">
        <v>-0.55938320701998301</v>
      </c>
      <c r="AF601" s="3">
        <v>0</v>
      </c>
      <c r="AG601" s="3">
        <v>0.177984</v>
      </c>
      <c r="AH601" s="3">
        <v>-0.51403799999999999</v>
      </c>
      <c r="AI601" s="3">
        <v>42.678400000000003</v>
      </c>
      <c r="AJ601" s="3">
        <v>0.15937299999999999</v>
      </c>
      <c r="AK601" s="3">
        <v>-0.46113799999999999</v>
      </c>
      <c r="AL601" s="3">
        <v>0</v>
      </c>
      <c r="AM601" s="3">
        <v>2.4222599999999999E-3</v>
      </c>
      <c r="AN601" s="3">
        <v>-0.47229700000000002</v>
      </c>
      <c r="AO601" s="3">
        <v>14.151999999999999</v>
      </c>
      <c r="AP601" s="3">
        <v>8.8129799999999994E-2</v>
      </c>
      <c r="AQ601" s="3">
        <v>1.38167</v>
      </c>
      <c r="AR601" s="3">
        <v>2.3633000000000002</v>
      </c>
      <c r="AS601" s="3">
        <v>8.03846E-2</v>
      </c>
      <c r="AT601" s="3">
        <v>2.8130799999999998</v>
      </c>
      <c r="AU601" s="3">
        <v>1.39018</v>
      </c>
      <c r="AV601" s="3">
        <v>6.8327700000000005E-2</v>
      </c>
      <c r="AW601" s="3">
        <v>1.12618</v>
      </c>
      <c r="AX601" s="3">
        <v>0</v>
      </c>
      <c r="AY601" s="3">
        <v>0</v>
      </c>
      <c r="AZ601" s="21">
        <v>-0.65963899999999998</v>
      </c>
      <c r="BA601" s="3">
        <v>43.180999999999997</v>
      </c>
      <c r="BB601" s="3">
        <v>3</v>
      </c>
    </row>
    <row r="602" spans="1:54" ht="141.75" customHeight="1" x14ac:dyDescent="0.25">
      <c r="A602" s="2">
        <v>600</v>
      </c>
      <c r="B602" s="3">
        <v>16</v>
      </c>
      <c r="C602" s="2">
        <v>2</v>
      </c>
      <c r="D602" s="9">
        <v>69</v>
      </c>
      <c r="E602" s="3" t="s">
        <v>53</v>
      </c>
      <c r="F602" s="3">
        <f>IF(E613="Happy", 1,2)</f>
        <v>1</v>
      </c>
      <c r="G602" s="12"/>
      <c r="H602" s="3" t="s">
        <v>76</v>
      </c>
      <c r="I602" s="3">
        <f t="shared" si="76"/>
        <v>2</v>
      </c>
      <c r="J602" s="3" t="s">
        <v>80</v>
      </c>
      <c r="K602" s="3">
        <v>4</v>
      </c>
      <c r="L602" s="6" t="s">
        <v>179</v>
      </c>
      <c r="M602" s="3">
        <v>-63</v>
      </c>
      <c r="N602" s="3">
        <f t="shared" si="77"/>
        <v>-0.63</v>
      </c>
      <c r="O602" s="3">
        <v>-33</v>
      </c>
      <c r="P602" s="3">
        <v>-0.33</v>
      </c>
      <c r="Q602" s="17">
        <v>-0.14377078609221469</v>
      </c>
      <c r="R602" s="21">
        <v>0.45610777188843937</v>
      </c>
      <c r="S602" s="3">
        <v>5</v>
      </c>
      <c r="T602" s="3">
        <v>363.74</v>
      </c>
      <c r="U602" s="3">
        <v>464.58</v>
      </c>
      <c r="V602" s="26">
        <v>-0.212945886864742</v>
      </c>
      <c r="W602" s="18">
        <v>7.82793433935027E-3</v>
      </c>
      <c r="X602" s="18">
        <v>-0.255942207262844</v>
      </c>
      <c r="Y602" s="18">
        <v>0.69891201619232601</v>
      </c>
      <c r="Z602" s="18">
        <v>0.33075345078895002</v>
      </c>
      <c r="AA602" s="18">
        <v>0.70935473316022701</v>
      </c>
      <c r="AB602" s="18">
        <v>0.28439502093804597</v>
      </c>
      <c r="AC602" s="18">
        <v>-0.25095723806890002</v>
      </c>
      <c r="AD602" s="18">
        <v>-0.51981610585059201</v>
      </c>
      <c r="AE602" s="21">
        <v>-0.384865333952499</v>
      </c>
      <c r="AF602" s="3">
        <v>0</v>
      </c>
      <c r="AG602" s="3">
        <v>0.30032300000000001</v>
      </c>
      <c r="AH602" s="3">
        <v>-0.143404</v>
      </c>
      <c r="AI602" s="3">
        <v>53.072800000000001</v>
      </c>
      <c r="AJ602" s="3">
        <v>0.249197</v>
      </c>
      <c r="AK602" s="3">
        <v>5.4428799999999999E-2</v>
      </c>
      <c r="AL602" s="3">
        <v>0</v>
      </c>
      <c r="AM602" s="3">
        <v>0.14633599999999999</v>
      </c>
      <c r="AN602" s="3">
        <v>-5.8808800000000001E-2</v>
      </c>
      <c r="AO602" s="3">
        <v>9.4981200000000001</v>
      </c>
      <c r="AP602" s="3">
        <v>0.113884</v>
      </c>
      <c r="AQ602" s="3">
        <v>1.3421400000000001</v>
      </c>
      <c r="AR602" s="3">
        <v>1.76156</v>
      </c>
      <c r="AS602" s="3">
        <v>4.3279100000000001E-2</v>
      </c>
      <c r="AT602" s="3">
        <v>2.8195899999999998</v>
      </c>
      <c r="AU602" s="3">
        <v>3.6183299999999998</v>
      </c>
      <c r="AV602" s="3">
        <v>0.23025599999999999</v>
      </c>
      <c r="AW602" s="3">
        <v>1.9733700000000001</v>
      </c>
      <c r="AX602" s="3">
        <v>0</v>
      </c>
      <c r="AY602" s="3">
        <v>8.5592600000000005E-2</v>
      </c>
      <c r="AZ602" s="21">
        <v>-0.42463499999999998</v>
      </c>
      <c r="BA602" s="3">
        <v>100.84</v>
      </c>
      <c r="BB602" s="3">
        <v>4</v>
      </c>
    </row>
    <row r="603" spans="1:54" ht="126" customHeight="1" x14ac:dyDescent="0.25">
      <c r="A603" s="2">
        <v>601</v>
      </c>
      <c r="B603" s="3">
        <v>16</v>
      </c>
      <c r="C603" s="2">
        <v>2</v>
      </c>
      <c r="D603" s="9">
        <v>69</v>
      </c>
      <c r="E603" s="3" t="s">
        <v>53</v>
      </c>
      <c r="F603" s="3">
        <f t="shared" ref="F603:F610" si="80">IF(E613="Happy", 1,2)</f>
        <v>1</v>
      </c>
      <c r="G603" s="12"/>
      <c r="H603" s="3" t="s">
        <v>76</v>
      </c>
      <c r="I603" s="3">
        <f t="shared" si="76"/>
        <v>2</v>
      </c>
      <c r="J603" s="3" t="s">
        <v>81</v>
      </c>
      <c r="K603" s="3">
        <v>5</v>
      </c>
      <c r="L603" s="6" t="s">
        <v>253</v>
      </c>
      <c r="M603" s="3">
        <v>-63</v>
      </c>
      <c r="N603" s="3">
        <f t="shared" si="77"/>
        <v>-0.63</v>
      </c>
      <c r="O603" s="3">
        <v>-33</v>
      </c>
      <c r="P603" s="3">
        <v>-0.33</v>
      </c>
      <c r="Q603" s="17">
        <v>5.7291666666666637E-2</v>
      </c>
      <c r="R603" s="21">
        <v>0.35463816653973762</v>
      </c>
      <c r="S603" s="3">
        <v>6</v>
      </c>
      <c r="T603" s="3">
        <v>464.58</v>
      </c>
      <c r="U603" s="3">
        <v>582.61</v>
      </c>
      <c r="V603" s="26">
        <v>1.1722204284573601</v>
      </c>
      <c r="W603" s="18">
        <v>-0.87905023064696097</v>
      </c>
      <c r="X603" s="18">
        <v>9.5377462788657802E-2</v>
      </c>
      <c r="Y603" s="18">
        <v>1.3536319588591399</v>
      </c>
      <c r="Z603" s="18">
        <v>0.98963121924400599</v>
      </c>
      <c r="AA603" s="18">
        <v>1.16331946489444</v>
      </c>
      <c r="AB603" s="18">
        <v>0.639451151648046</v>
      </c>
      <c r="AC603" s="18">
        <v>0.851387108423725</v>
      </c>
      <c r="AD603" s="18">
        <v>2.2492478441703301</v>
      </c>
      <c r="AE603" s="21">
        <v>-0.43828917264662598</v>
      </c>
      <c r="AF603" s="3">
        <v>0.84392500000000004</v>
      </c>
      <c r="AG603" s="3">
        <v>0.41725800000000002</v>
      </c>
      <c r="AH603" s="3">
        <v>5.4354899999999997</v>
      </c>
      <c r="AI603" s="3">
        <v>51.347200000000001</v>
      </c>
      <c r="AJ603" s="3">
        <v>0.34018399999999999</v>
      </c>
      <c r="AK603" s="3">
        <v>0.192936</v>
      </c>
      <c r="AL603" s="3">
        <v>0</v>
      </c>
      <c r="AM603" s="3">
        <v>0.25575500000000001</v>
      </c>
      <c r="AN603" s="3">
        <v>0.87042699999999995</v>
      </c>
      <c r="AO603" s="3">
        <v>4.8500300000000003</v>
      </c>
      <c r="AP603" s="3">
        <v>8.9783699999999994E-2</v>
      </c>
      <c r="AQ603" s="3">
        <v>1.3571200000000001</v>
      </c>
      <c r="AR603" s="3">
        <v>0</v>
      </c>
      <c r="AS603" s="3">
        <v>6.3922699999999999E-2</v>
      </c>
      <c r="AT603" s="3">
        <v>4.9840799999999998E-2</v>
      </c>
      <c r="AU603" s="3">
        <v>3.2638500000000001</v>
      </c>
      <c r="AV603" s="3">
        <v>8.6316500000000004E-2</v>
      </c>
      <c r="AW603" s="3">
        <v>1.45936</v>
      </c>
      <c r="AX603" s="3">
        <v>0.24402599999999999</v>
      </c>
      <c r="AY603" s="3">
        <v>0.14064499999999999</v>
      </c>
      <c r="AZ603" s="21">
        <v>4.7723699999999996</v>
      </c>
      <c r="BA603" s="3">
        <v>118.03</v>
      </c>
      <c r="BB603" s="3">
        <v>5</v>
      </c>
    </row>
    <row r="604" spans="1:54" ht="173.25" customHeight="1" x14ac:dyDescent="0.25">
      <c r="A604" s="2">
        <v>602</v>
      </c>
      <c r="B604" s="3">
        <v>16</v>
      </c>
      <c r="C604" s="2">
        <v>2</v>
      </c>
      <c r="D604" s="9">
        <v>69</v>
      </c>
      <c r="E604" s="3" t="s">
        <v>53</v>
      </c>
      <c r="F604" s="3">
        <f t="shared" si="80"/>
        <v>1</v>
      </c>
      <c r="G604" s="11" t="s">
        <v>84</v>
      </c>
      <c r="H604" s="3" t="s">
        <v>84</v>
      </c>
      <c r="I604" s="3">
        <f t="shared" si="76"/>
        <v>3</v>
      </c>
      <c r="J604" s="3" t="s">
        <v>85</v>
      </c>
      <c r="K604" s="3">
        <v>1</v>
      </c>
      <c r="L604" s="6" t="s">
        <v>293</v>
      </c>
      <c r="M604" s="3">
        <v>-91</v>
      </c>
      <c r="N604" s="3">
        <f t="shared" si="77"/>
        <v>-0.91</v>
      </c>
      <c r="O604" s="3">
        <v>-64</v>
      </c>
      <c r="P604" s="3">
        <v>-0.64</v>
      </c>
      <c r="Q604" s="17">
        <v>9.239583333333333E-2</v>
      </c>
      <c r="R604" s="21">
        <v>0.22746944566318669</v>
      </c>
      <c r="S604" s="3">
        <v>2</v>
      </c>
      <c r="T604" s="3">
        <v>66.25</v>
      </c>
      <c r="U604" s="3">
        <v>205.04</v>
      </c>
      <c r="V604" s="26">
        <v>-1.1862915052538801</v>
      </c>
      <c r="W604" s="18">
        <v>0.14544254695284001</v>
      </c>
      <c r="X604" s="18">
        <v>-0.138535253430528</v>
      </c>
      <c r="Y604" s="18">
        <v>1.2080709669546199</v>
      </c>
      <c r="Z604" s="18">
        <v>-1.70983652959968</v>
      </c>
      <c r="AA604" s="18">
        <v>-1.3538850067114601</v>
      </c>
      <c r="AB604" s="18">
        <v>1.2415819781486801</v>
      </c>
      <c r="AC604" s="18">
        <v>0.78713281229126797</v>
      </c>
      <c r="AD604" s="18">
        <v>-0.455796166523317</v>
      </c>
      <c r="AE604" s="21">
        <v>1.7948272847679301</v>
      </c>
      <c r="AF604" s="3">
        <v>0.25944099999999998</v>
      </c>
      <c r="AG604" s="3">
        <v>0.126725</v>
      </c>
      <c r="AH604" s="3">
        <v>4.6224600000000002</v>
      </c>
      <c r="AI604" s="3">
        <v>56.29</v>
      </c>
      <c r="AJ604" s="3">
        <v>0.36542200000000002</v>
      </c>
      <c r="AK604" s="3">
        <v>0.25178699999999998</v>
      </c>
      <c r="AL604" s="3">
        <v>0</v>
      </c>
      <c r="AM604" s="3">
        <v>0.237317</v>
      </c>
      <c r="AN604" s="3">
        <v>0.62597400000000003</v>
      </c>
      <c r="AO604" s="3">
        <v>7.54108</v>
      </c>
      <c r="AP604" s="3">
        <v>9.4689099999999998E-2</v>
      </c>
      <c r="AQ604" s="3">
        <v>1.6668099999999999</v>
      </c>
      <c r="AR604" s="3">
        <v>0.371865</v>
      </c>
      <c r="AS604" s="3">
        <v>7.0246799999999998E-2</v>
      </c>
      <c r="AT604" s="3">
        <v>3.3050299999999999</v>
      </c>
      <c r="AU604" s="3">
        <v>7.2902899999999997</v>
      </c>
      <c r="AV604" s="3">
        <v>9.7269900000000006E-2</v>
      </c>
      <c r="AW604" s="3">
        <v>1.10259</v>
      </c>
      <c r="AX604" s="3">
        <v>5.1888200000000002E-2</v>
      </c>
      <c r="AY604" s="3">
        <v>0.881332</v>
      </c>
      <c r="AZ604" s="21">
        <v>10.928599999999999</v>
      </c>
      <c r="BA604" s="3">
        <v>138.79</v>
      </c>
      <c r="BB604" s="3">
        <v>1</v>
      </c>
    </row>
    <row r="605" spans="1:54" ht="110.25" customHeight="1" x14ac:dyDescent="0.25">
      <c r="A605" s="2">
        <v>603</v>
      </c>
      <c r="B605" s="3">
        <v>16</v>
      </c>
      <c r="C605" s="2">
        <v>2</v>
      </c>
      <c r="D605" s="9">
        <v>69</v>
      </c>
      <c r="E605" s="3" t="s">
        <v>53</v>
      </c>
      <c r="F605" s="3">
        <f t="shared" si="80"/>
        <v>1</v>
      </c>
      <c r="G605" s="12"/>
      <c r="H605" s="3" t="s">
        <v>84</v>
      </c>
      <c r="I605" s="3">
        <f t="shared" si="76"/>
        <v>3</v>
      </c>
      <c r="J605" s="3" t="s">
        <v>86</v>
      </c>
      <c r="K605" s="3">
        <v>2</v>
      </c>
      <c r="L605" s="6" t="s">
        <v>294</v>
      </c>
      <c r="M605" s="3">
        <v>-91</v>
      </c>
      <c r="N605" s="3">
        <f t="shared" si="77"/>
        <v>-0.91</v>
      </c>
      <c r="O605" s="3">
        <v>-64</v>
      </c>
      <c r="P605" s="3">
        <v>-0.64</v>
      </c>
      <c r="Q605" s="17">
        <v>-0.19566666666666671</v>
      </c>
      <c r="R605" s="21">
        <v>0.31812393733602129</v>
      </c>
      <c r="S605" s="3">
        <v>3</v>
      </c>
      <c r="T605" s="3">
        <v>205.04</v>
      </c>
      <c r="U605" s="3">
        <v>292.16000000000003</v>
      </c>
      <c r="V605" s="26">
        <v>-0.81632744684694802</v>
      </c>
      <c r="W605" s="18">
        <v>0.37714206018586699</v>
      </c>
      <c r="X605" s="18">
        <v>-0.25583959635568998</v>
      </c>
      <c r="Y605" s="18">
        <v>-0.76108300386434502</v>
      </c>
      <c r="Z605" s="18">
        <v>-0.76147065314367102</v>
      </c>
      <c r="AA605" s="18">
        <v>-0.25251327883777203</v>
      </c>
      <c r="AB605" s="18">
        <v>-0.30222322382056199</v>
      </c>
      <c r="AC605" s="18">
        <v>2.3822899254511798</v>
      </c>
      <c r="AD605" s="18">
        <v>0.280755654326379</v>
      </c>
      <c r="AE605" s="21">
        <v>1.2694928709423301</v>
      </c>
      <c r="AF605" s="3">
        <v>0</v>
      </c>
      <c r="AG605" s="3">
        <v>0.261328</v>
      </c>
      <c r="AH605" s="3">
        <v>-0.15190200000000001</v>
      </c>
      <c r="AI605" s="3">
        <v>59.104500000000002</v>
      </c>
      <c r="AJ605" s="3">
        <v>0.26658399999999999</v>
      </c>
      <c r="AK605" s="3">
        <v>-0.407418</v>
      </c>
      <c r="AL605" s="3">
        <v>0</v>
      </c>
      <c r="AM605" s="3">
        <v>0.18411</v>
      </c>
      <c r="AN605" s="3">
        <v>0.59050999999999998</v>
      </c>
      <c r="AO605" s="3">
        <v>3.58209</v>
      </c>
      <c r="AP605" s="3">
        <v>6.4305799999999996E-2</v>
      </c>
      <c r="AQ605" s="3">
        <v>1.5301499999999999</v>
      </c>
      <c r="AR605" s="3">
        <v>0.79908199999999996</v>
      </c>
      <c r="AS605" s="3">
        <v>7.1709899999999993E-2</v>
      </c>
      <c r="AT605" s="3">
        <v>3.3270499999999998</v>
      </c>
      <c r="AU605" s="3">
        <v>5.8140099999999997</v>
      </c>
      <c r="AV605" s="3">
        <v>8.0571900000000002E-2</v>
      </c>
      <c r="AW605" s="3">
        <v>1.06355</v>
      </c>
      <c r="AX605" s="3">
        <v>0</v>
      </c>
      <c r="AY605" s="3">
        <v>1.1504500000000001E-2</v>
      </c>
      <c r="AZ605" s="21">
        <v>-0.58497299999999997</v>
      </c>
      <c r="BA605" s="3">
        <v>87.12</v>
      </c>
      <c r="BB605" s="3">
        <v>2</v>
      </c>
    </row>
    <row r="606" spans="1:54" ht="173.25" customHeight="1" x14ac:dyDescent="0.25">
      <c r="A606" s="2">
        <v>604</v>
      </c>
      <c r="B606" s="3">
        <v>16</v>
      </c>
      <c r="C606" s="2">
        <v>2</v>
      </c>
      <c r="D606" s="9">
        <v>69</v>
      </c>
      <c r="E606" s="3" t="s">
        <v>53</v>
      </c>
      <c r="F606" s="3">
        <f t="shared" si="80"/>
        <v>1</v>
      </c>
      <c r="G606" s="12"/>
      <c r="H606" s="3" t="s">
        <v>84</v>
      </c>
      <c r="I606" s="3">
        <f t="shared" si="76"/>
        <v>3</v>
      </c>
      <c r="J606" s="3" t="s">
        <v>87</v>
      </c>
      <c r="K606" s="3">
        <v>3</v>
      </c>
      <c r="L606" s="6" t="s">
        <v>214</v>
      </c>
      <c r="M606" s="3">
        <v>-91</v>
      </c>
      <c r="N606" s="3">
        <f t="shared" si="77"/>
        <v>-0.91</v>
      </c>
      <c r="O606" s="3">
        <v>-64</v>
      </c>
      <c r="P606" s="3">
        <v>-0.64</v>
      </c>
      <c r="Q606" s="17">
        <v>0.1026388888888889</v>
      </c>
      <c r="R606" s="21">
        <v>0.25720564801413359</v>
      </c>
      <c r="S606" s="3">
        <v>4</v>
      </c>
      <c r="T606" s="3">
        <v>292.16000000000003</v>
      </c>
      <c r="U606" s="3">
        <v>420.39</v>
      </c>
      <c r="V606" s="26">
        <v>7.8977946864378007E-2</v>
      </c>
      <c r="W606" s="18">
        <v>0.27118622229304001</v>
      </c>
      <c r="X606" s="18">
        <v>-0.19500025110038199</v>
      </c>
      <c r="Y606" s="18">
        <v>6.6726620389375504E-2</v>
      </c>
      <c r="Z606" s="18">
        <v>-1.8590097162195101</v>
      </c>
      <c r="AA606" s="18">
        <v>-1.92576359353108</v>
      </c>
      <c r="AB606" s="18">
        <v>1.0845495864360799</v>
      </c>
      <c r="AC606" s="18">
        <v>2.02447012955759</v>
      </c>
      <c r="AD606" s="18">
        <v>-0.32598243564559198</v>
      </c>
      <c r="AE606" s="21">
        <v>1.3977100838082399</v>
      </c>
      <c r="AF606" s="3">
        <v>0.40243299999999999</v>
      </c>
      <c r="AG606" s="3">
        <v>0.22267400000000001</v>
      </c>
      <c r="AH606" s="3">
        <v>5.3590099999999996</v>
      </c>
      <c r="AI606" s="3">
        <v>56.293900000000001</v>
      </c>
      <c r="AJ606" s="3">
        <v>0.31221199999999999</v>
      </c>
      <c r="AK606" s="3">
        <v>-0.18013799999999999</v>
      </c>
      <c r="AL606" s="3">
        <v>0</v>
      </c>
      <c r="AM606" s="3">
        <v>0.22691500000000001</v>
      </c>
      <c r="AN606" s="3">
        <v>1.4592400000000001</v>
      </c>
      <c r="AO606" s="3">
        <v>7.0472599999999996</v>
      </c>
      <c r="AP606" s="3">
        <v>7.6854800000000001E-2</v>
      </c>
      <c r="AQ606" s="3">
        <v>1.6359900000000001</v>
      </c>
      <c r="AR606" s="3">
        <v>1.4412700000000001</v>
      </c>
      <c r="AS606" s="3">
        <v>3.7893200000000002E-2</v>
      </c>
      <c r="AT606" s="3">
        <v>3.1375099999999998</v>
      </c>
      <c r="AU606" s="3">
        <v>4.6981799999999998</v>
      </c>
      <c r="AV606" s="3">
        <v>0.181002</v>
      </c>
      <c r="AW606" s="3">
        <v>1.2335</v>
      </c>
      <c r="AX606" s="3">
        <v>0.15910199999999999</v>
      </c>
      <c r="AY606" s="3">
        <v>1.06596</v>
      </c>
      <c r="AZ606" s="21">
        <v>9.0362100000000005</v>
      </c>
      <c r="BA606" s="3">
        <v>128.22999999999999</v>
      </c>
      <c r="BB606" s="3">
        <v>3</v>
      </c>
    </row>
    <row r="607" spans="1:54" ht="141.75" customHeight="1" x14ac:dyDescent="0.25">
      <c r="A607" s="2">
        <v>605</v>
      </c>
      <c r="B607" s="3">
        <v>16</v>
      </c>
      <c r="C607" s="2">
        <v>2</v>
      </c>
      <c r="D607" s="9">
        <v>69</v>
      </c>
      <c r="E607" s="3" t="s">
        <v>53</v>
      </c>
      <c r="F607" s="3">
        <f t="shared" si="80"/>
        <v>1</v>
      </c>
      <c r="G607" s="12"/>
      <c r="H607" s="3" t="s">
        <v>84</v>
      </c>
      <c r="I607" s="3">
        <f t="shared" si="76"/>
        <v>3</v>
      </c>
      <c r="J607" s="3" t="s">
        <v>88</v>
      </c>
      <c r="K607" s="3">
        <v>4</v>
      </c>
      <c r="L607" s="6" t="s">
        <v>194</v>
      </c>
      <c r="M607" s="3">
        <v>-91</v>
      </c>
      <c r="N607" s="3">
        <f t="shared" si="77"/>
        <v>-0.91</v>
      </c>
      <c r="O607" s="3">
        <v>-64</v>
      </c>
      <c r="P607" s="3">
        <v>-0.64</v>
      </c>
      <c r="Q607" s="17">
        <v>0.36230158730158729</v>
      </c>
      <c r="R607" s="21">
        <v>0.2321797827096885</v>
      </c>
      <c r="S607" s="3">
        <v>5</v>
      </c>
      <c r="T607" s="3">
        <v>420.39</v>
      </c>
      <c r="U607" s="3">
        <v>556.53</v>
      </c>
      <c r="V607" s="26">
        <v>-0.63670859740906205</v>
      </c>
      <c r="W607" s="18">
        <v>-0.94294146850670002</v>
      </c>
      <c r="X607" s="18">
        <v>-0.555113229760685</v>
      </c>
      <c r="Y607" s="18">
        <v>-1.0431911689278499</v>
      </c>
      <c r="Z607" s="18">
        <v>-1.45046652341033</v>
      </c>
      <c r="AA607" s="18">
        <v>-1.1003666079332199</v>
      </c>
      <c r="AB607" s="18">
        <v>0.61310576142694695</v>
      </c>
      <c r="AC607" s="18">
        <v>1.16086880997914</v>
      </c>
      <c r="AD607" s="18">
        <v>8.3777427907571797E-2</v>
      </c>
      <c r="AE607" s="21">
        <v>1.47250345798002</v>
      </c>
      <c r="AF607" s="3">
        <v>0</v>
      </c>
      <c r="AG607" s="3">
        <v>0.34189199999999997</v>
      </c>
      <c r="AH607" s="3">
        <v>8.9727100000000004E-2</v>
      </c>
      <c r="AI607" s="3">
        <v>58.589500000000001</v>
      </c>
      <c r="AJ607" s="3">
        <v>0.29815000000000003</v>
      </c>
      <c r="AK607" s="3">
        <v>0.16519300000000001</v>
      </c>
      <c r="AL607" s="3">
        <v>0</v>
      </c>
      <c r="AM607" s="3">
        <v>0.153365</v>
      </c>
      <c r="AN607" s="3">
        <v>-5.1481199999999998E-2</v>
      </c>
      <c r="AO607" s="3">
        <v>10.3409</v>
      </c>
      <c r="AP607" s="3">
        <v>8.7572899999999995E-2</v>
      </c>
      <c r="AQ607" s="3">
        <v>1.5823499999999999</v>
      </c>
      <c r="AR607" s="3">
        <v>0.21157799999999999</v>
      </c>
      <c r="AS607" s="3">
        <v>0.123221</v>
      </c>
      <c r="AT607" s="3">
        <v>3.4916999999999998</v>
      </c>
      <c r="AU607" s="3">
        <v>4.8310300000000002</v>
      </c>
      <c r="AV607" s="3">
        <v>9.46245E-2</v>
      </c>
      <c r="AW607" s="3">
        <v>1.1165400000000001</v>
      </c>
      <c r="AX607" s="3">
        <v>0</v>
      </c>
      <c r="AY607" s="3">
        <v>7.2780300000000006E-2</v>
      </c>
      <c r="AZ607" s="21">
        <v>-0.44148700000000002</v>
      </c>
      <c r="BA607" s="3">
        <v>136.13999999999999</v>
      </c>
      <c r="BB607" s="3">
        <v>4</v>
      </c>
    </row>
    <row r="608" spans="1:54" ht="189" customHeight="1" x14ac:dyDescent="0.25">
      <c r="A608" s="2">
        <v>606</v>
      </c>
      <c r="B608" s="3">
        <v>17</v>
      </c>
      <c r="C608" s="2">
        <v>1</v>
      </c>
      <c r="D608" s="9">
        <v>68</v>
      </c>
      <c r="E608" s="3" t="s">
        <v>16</v>
      </c>
      <c r="F608" s="3">
        <f t="shared" si="80"/>
        <v>1</v>
      </c>
      <c r="G608" s="11" t="s">
        <v>17</v>
      </c>
      <c r="H608" s="3" t="s">
        <v>17</v>
      </c>
      <c r="I608" s="3">
        <f t="shared" si="76"/>
        <v>1</v>
      </c>
      <c r="J608" s="3" t="s">
        <v>18</v>
      </c>
      <c r="K608" s="3">
        <v>1</v>
      </c>
      <c r="L608" s="6" t="s">
        <v>270</v>
      </c>
      <c r="M608" s="3">
        <v>90</v>
      </c>
      <c r="N608" s="3">
        <f t="shared" si="77"/>
        <v>0.9</v>
      </c>
      <c r="O608" s="3">
        <v>67</v>
      </c>
      <c r="P608" s="3">
        <v>0.67</v>
      </c>
      <c r="Q608" s="17">
        <v>0.18036111111111111</v>
      </c>
      <c r="R608" s="21">
        <v>0.3951334734055767</v>
      </c>
      <c r="S608" s="3">
        <v>2</v>
      </c>
      <c r="T608" s="3">
        <v>21.3</v>
      </c>
      <c r="U608" s="3">
        <v>129.80000000000001</v>
      </c>
      <c r="V608" s="26">
        <v>-2.34550284706091E-2</v>
      </c>
      <c r="W608" s="18">
        <v>0.199514940848211</v>
      </c>
      <c r="X608" s="18">
        <v>-0.17352770067461501</v>
      </c>
      <c r="Y608" s="18">
        <v>0.40224115554835199</v>
      </c>
      <c r="Z608" s="18">
        <v>0.40319781897523299</v>
      </c>
      <c r="AA608" s="18">
        <v>0.76705437904801799</v>
      </c>
      <c r="AB608" s="18">
        <v>0.54183316772576995</v>
      </c>
      <c r="AC608" s="18">
        <v>-0.16266662485160899</v>
      </c>
      <c r="AD608" s="18">
        <v>-0.98783567687664597</v>
      </c>
      <c r="AE608" s="21">
        <v>6.3309734781824806E-2</v>
      </c>
      <c r="AF608" s="3">
        <v>0.19911499999999999</v>
      </c>
      <c r="AG608" s="3">
        <v>0.102564</v>
      </c>
      <c r="AH608" s="3">
        <v>3.5298699999999998</v>
      </c>
      <c r="AI608" s="3">
        <v>0.73008799999999996</v>
      </c>
      <c r="AJ608" s="3">
        <v>9.7182500000000005E-2</v>
      </c>
      <c r="AK608" s="3">
        <v>3.4009</v>
      </c>
      <c r="AL608" s="3">
        <v>0.23230100000000001</v>
      </c>
      <c r="AM608" s="3">
        <v>8.6189199999999994E-2</v>
      </c>
      <c r="AN608" s="3">
        <v>5.3740300000000003</v>
      </c>
      <c r="AO608" s="3">
        <v>49.4801</v>
      </c>
      <c r="AP608" s="3">
        <v>0.42864000000000002</v>
      </c>
      <c r="AQ608" s="3">
        <v>1.04979</v>
      </c>
      <c r="AR608" s="3">
        <v>58.993400000000001</v>
      </c>
      <c r="AS608" s="3">
        <v>0.49824499999999999</v>
      </c>
      <c r="AT608" s="3">
        <v>0.13245100000000001</v>
      </c>
      <c r="AU608" s="3">
        <v>56.128300000000003</v>
      </c>
      <c r="AV608" s="3">
        <v>0.46410600000000002</v>
      </c>
      <c r="AW608" s="3">
        <v>-4.5509899999999999E-2</v>
      </c>
      <c r="AX608" s="3">
        <v>0.23230100000000001</v>
      </c>
      <c r="AY608" s="3">
        <v>0.31902799999999998</v>
      </c>
      <c r="AZ608" s="21">
        <v>4.3522800000000004</v>
      </c>
      <c r="BA608" s="3">
        <v>108.5</v>
      </c>
      <c r="BB608" s="3">
        <v>1</v>
      </c>
    </row>
    <row r="609" spans="1:54" ht="94.5" customHeight="1" x14ac:dyDescent="0.25">
      <c r="A609" s="2">
        <v>607</v>
      </c>
      <c r="B609" s="3">
        <v>17</v>
      </c>
      <c r="C609" s="2">
        <v>1</v>
      </c>
      <c r="D609" s="9">
        <v>68</v>
      </c>
      <c r="E609" s="3" t="s">
        <v>16</v>
      </c>
      <c r="F609" s="3">
        <f t="shared" si="80"/>
        <v>2</v>
      </c>
      <c r="G609" s="12"/>
      <c r="H609" s="3" t="s">
        <v>17</v>
      </c>
      <c r="I609" s="3">
        <f t="shared" si="76"/>
        <v>1</v>
      </c>
      <c r="J609" s="3" t="s">
        <v>19</v>
      </c>
      <c r="K609" s="3">
        <v>2</v>
      </c>
      <c r="L609" s="6" t="s">
        <v>196</v>
      </c>
      <c r="M609" s="3">
        <v>90</v>
      </c>
      <c r="N609" s="3">
        <f t="shared" si="77"/>
        <v>0.9</v>
      </c>
      <c r="O609" s="3">
        <v>67</v>
      </c>
      <c r="P609" s="3">
        <v>0.67</v>
      </c>
      <c r="Q609" s="17">
        <v>9.9537037037037035E-2</v>
      </c>
      <c r="R609" s="21">
        <v>0.32299356909853849</v>
      </c>
      <c r="S609" s="3">
        <v>3</v>
      </c>
      <c r="T609" s="3">
        <v>129.80000000000001</v>
      </c>
      <c r="U609" s="3">
        <v>195.1</v>
      </c>
      <c r="V609" s="26">
        <v>1.7336236131487099</v>
      </c>
      <c r="W609" s="18">
        <v>1.22721274397805</v>
      </c>
      <c r="X609" s="18">
        <v>0.70749923203522802</v>
      </c>
      <c r="Y609" s="18">
        <v>-0.47969711893816802</v>
      </c>
      <c r="Z609" s="18">
        <v>-4.8604236135689802E-2</v>
      </c>
      <c r="AA609" s="18">
        <v>-0.42771238677763201</v>
      </c>
      <c r="AB609" s="18">
        <v>0.74863355041086799</v>
      </c>
      <c r="AC609" s="18">
        <v>-5.4213992175333597E-2</v>
      </c>
      <c r="AD609" s="18">
        <v>0.94884519005744405</v>
      </c>
      <c r="AE609" s="21">
        <v>-0.38810228060312202</v>
      </c>
      <c r="AF609" s="3">
        <v>1.13971</v>
      </c>
      <c r="AG609" s="3">
        <v>0.17619699999999999</v>
      </c>
      <c r="AH609" s="3">
        <v>4.1929800000000004</v>
      </c>
      <c r="AI609" s="3">
        <v>0.95588200000000001</v>
      </c>
      <c r="AJ609" s="3">
        <v>0.16267100000000001</v>
      </c>
      <c r="AK609" s="3">
        <v>4.0058499999999997</v>
      </c>
      <c r="AL609" s="3">
        <v>0</v>
      </c>
      <c r="AM609" s="3">
        <v>0</v>
      </c>
      <c r="AN609" s="3">
        <v>-0.46373599999999998</v>
      </c>
      <c r="AO609" s="3">
        <v>48.4375</v>
      </c>
      <c r="AP609" s="3">
        <v>0.13985300000000001</v>
      </c>
      <c r="AQ609" s="3">
        <v>-0.19389000000000001</v>
      </c>
      <c r="AR609" s="3">
        <v>50.698500000000003</v>
      </c>
      <c r="AS609" s="3">
        <v>0.34878700000000001</v>
      </c>
      <c r="AT609" s="3">
        <v>-0.63192099999999995</v>
      </c>
      <c r="AU609" s="3">
        <v>49.724299999999999</v>
      </c>
      <c r="AV609" s="3">
        <v>0.26326699999999997</v>
      </c>
      <c r="AW609" s="3">
        <v>-0.49950699999999998</v>
      </c>
      <c r="AX609" s="3">
        <v>1.5625</v>
      </c>
      <c r="AY609" s="3">
        <v>9.9398200000000006E-2</v>
      </c>
      <c r="AZ609" s="21">
        <v>3.0315099999999999</v>
      </c>
      <c r="BA609" s="3">
        <v>65.3</v>
      </c>
      <c r="BB609" s="3">
        <v>2</v>
      </c>
    </row>
    <row r="610" spans="1:54" ht="78.75" customHeight="1" x14ac:dyDescent="0.25">
      <c r="A610" s="2">
        <v>608</v>
      </c>
      <c r="B610" s="3">
        <v>17</v>
      </c>
      <c r="C610" s="2">
        <v>1</v>
      </c>
      <c r="D610" s="9">
        <v>68</v>
      </c>
      <c r="E610" s="3" t="s">
        <v>16</v>
      </c>
      <c r="F610" s="3">
        <f t="shared" si="80"/>
        <v>2</v>
      </c>
      <c r="G610" s="12"/>
      <c r="H610" s="3" t="s">
        <v>17</v>
      </c>
      <c r="I610" s="3">
        <f t="shared" si="76"/>
        <v>1</v>
      </c>
      <c r="J610" s="3" t="s">
        <v>20</v>
      </c>
      <c r="K610" s="3">
        <v>3</v>
      </c>
      <c r="L610" s="6" t="s">
        <v>275</v>
      </c>
      <c r="M610" s="3">
        <v>90</v>
      </c>
      <c r="N610" s="3">
        <f t="shared" si="77"/>
        <v>0.9</v>
      </c>
      <c r="O610" s="3">
        <v>67</v>
      </c>
      <c r="P610" s="3">
        <v>0.67</v>
      </c>
      <c r="Q610" s="17">
        <v>0.30749149659863939</v>
      </c>
      <c r="R610" s="21">
        <v>0.24162896636053741</v>
      </c>
      <c r="S610" s="3">
        <v>4</v>
      </c>
      <c r="T610" s="3">
        <v>195.1</v>
      </c>
      <c r="U610" s="3">
        <v>267.89</v>
      </c>
      <c r="V610" s="26">
        <v>7.0617000826728796E-3</v>
      </c>
      <c r="W610" s="18">
        <v>0.68153983709894705</v>
      </c>
      <c r="X610" s="18">
        <v>-0.214144456912432</v>
      </c>
      <c r="Y610" s="18">
        <v>-0.44230017164387803</v>
      </c>
      <c r="Z610" s="18">
        <v>0.221311369484191</v>
      </c>
      <c r="AA610" s="18">
        <v>0.40977374517630699</v>
      </c>
      <c r="AB610" s="18">
        <v>0.758031859022263</v>
      </c>
      <c r="AC610" s="18">
        <v>5.4485123757023801E-2</v>
      </c>
      <c r="AD610" s="18">
        <v>0.48532996326870498</v>
      </c>
      <c r="AE610" s="21">
        <v>0.18816837733510799</v>
      </c>
      <c r="AF610" s="3">
        <v>3.3140999999999998</v>
      </c>
      <c r="AG610" s="3">
        <v>0.39959099999999997</v>
      </c>
      <c r="AH610" s="3">
        <v>5.02332</v>
      </c>
      <c r="AI610" s="3">
        <v>0</v>
      </c>
      <c r="AJ610" s="3">
        <v>4.0326800000000003E-2</v>
      </c>
      <c r="AK610" s="3">
        <v>-0.87084899999999998</v>
      </c>
      <c r="AL610" s="3">
        <v>0</v>
      </c>
      <c r="AM610" s="3">
        <v>2.27669E-2</v>
      </c>
      <c r="AN610" s="3">
        <v>-0.414491</v>
      </c>
      <c r="AO610" s="3">
        <v>54.905200000000001</v>
      </c>
      <c r="AP610" s="3">
        <v>0.15483</v>
      </c>
      <c r="AQ610" s="3">
        <v>-0.11347500000000001</v>
      </c>
      <c r="AR610" s="3">
        <v>56.768300000000004</v>
      </c>
      <c r="AS610" s="3">
        <v>0.21237800000000001</v>
      </c>
      <c r="AT610" s="3">
        <v>-0.20784</v>
      </c>
      <c r="AU610" s="3">
        <v>55.168999999999997</v>
      </c>
      <c r="AV610" s="3">
        <v>0.25457099999999999</v>
      </c>
      <c r="AW610" s="3">
        <v>-0.49939600000000001</v>
      </c>
      <c r="AX610" s="3">
        <v>1.385</v>
      </c>
      <c r="AY610" s="3">
        <v>0.25864700000000002</v>
      </c>
      <c r="AZ610" s="21">
        <v>4.0392200000000003</v>
      </c>
      <c r="BA610" s="3">
        <v>72.790000000000006</v>
      </c>
      <c r="BB610" s="3">
        <v>3</v>
      </c>
    </row>
    <row r="611" spans="1:54" ht="126" customHeight="1" x14ac:dyDescent="0.25">
      <c r="A611" s="2">
        <v>609</v>
      </c>
      <c r="B611" s="3">
        <v>17</v>
      </c>
      <c r="C611" s="2">
        <v>1</v>
      </c>
      <c r="D611" s="9">
        <v>68</v>
      </c>
      <c r="E611" s="3" t="s">
        <v>16</v>
      </c>
      <c r="F611" s="3">
        <f>IF(E622="Happy", 1,2)</f>
        <v>2</v>
      </c>
      <c r="G611" s="11" t="s">
        <v>26</v>
      </c>
      <c r="H611" s="3" t="s">
        <v>26</v>
      </c>
      <c r="I611" s="3">
        <f t="shared" si="76"/>
        <v>2</v>
      </c>
      <c r="J611" s="3" t="s">
        <v>27</v>
      </c>
      <c r="K611" s="3">
        <v>1</v>
      </c>
      <c r="L611" s="6" t="s">
        <v>295</v>
      </c>
      <c r="M611" s="3">
        <v>45</v>
      </c>
      <c r="N611" s="3">
        <f t="shared" si="77"/>
        <v>0.45</v>
      </c>
      <c r="O611" s="3">
        <v>23</v>
      </c>
      <c r="P611" s="3">
        <v>0.23</v>
      </c>
      <c r="Q611" s="17">
        <v>0.27001322751322748</v>
      </c>
      <c r="R611" s="21">
        <v>0.28827040967142409</v>
      </c>
      <c r="S611" s="3">
        <v>2</v>
      </c>
      <c r="T611" s="3">
        <v>27.43</v>
      </c>
      <c r="U611" s="3">
        <v>119.72</v>
      </c>
      <c r="V611" s="26">
        <v>-2.8356172859593299E-3</v>
      </c>
      <c r="W611" s="18">
        <v>-0.66911200373745305</v>
      </c>
      <c r="X611" s="18">
        <v>0.101684490650677</v>
      </c>
      <c r="Y611" s="18">
        <v>1.25382160697462</v>
      </c>
      <c r="Z611" s="18">
        <v>0.25494457810169502</v>
      </c>
      <c r="AA611" s="18">
        <v>0.438206169476968</v>
      </c>
      <c r="AB611" s="18">
        <v>0.49221009825761403</v>
      </c>
      <c r="AC611" s="18">
        <v>-0.82348823440864205</v>
      </c>
      <c r="AD611" s="18">
        <v>0.295553257511529</v>
      </c>
      <c r="AE611" s="21">
        <v>0.31142626806078499</v>
      </c>
      <c r="AF611" s="3">
        <v>7.8040300000000007E-2</v>
      </c>
      <c r="AG611" s="3">
        <v>0.143898</v>
      </c>
      <c r="AH611" s="3">
        <v>4.9647399999999999</v>
      </c>
      <c r="AI611" s="3">
        <v>0.11706</v>
      </c>
      <c r="AJ611" s="3">
        <v>4.1766499999999998E-2</v>
      </c>
      <c r="AK611" s="3">
        <v>4.3196399999999997</v>
      </c>
      <c r="AL611" s="3">
        <v>0.31216100000000002</v>
      </c>
      <c r="AM611" s="3">
        <v>8.4746000000000002E-2</v>
      </c>
      <c r="AN611" s="3">
        <v>5.7668600000000003</v>
      </c>
      <c r="AO611" s="3">
        <v>54.055900000000001</v>
      </c>
      <c r="AP611" s="3">
        <v>0.50342399999999998</v>
      </c>
      <c r="AQ611" s="3">
        <v>1.2266900000000001</v>
      </c>
      <c r="AR611" s="3">
        <v>57.268599999999999</v>
      </c>
      <c r="AS611" s="3">
        <v>0.48261700000000002</v>
      </c>
      <c r="AT611" s="3">
        <v>0.88478400000000001</v>
      </c>
      <c r="AU611" s="3">
        <v>57.632800000000003</v>
      </c>
      <c r="AV611" s="3">
        <v>0.46138099999999999</v>
      </c>
      <c r="AW611" s="3">
        <v>0.16533</v>
      </c>
      <c r="AX611" s="3">
        <v>9.1047000000000003E-2</v>
      </c>
      <c r="AY611" s="3">
        <v>0.15129600000000001</v>
      </c>
      <c r="AZ611" s="21">
        <v>5.5770099999999996</v>
      </c>
      <c r="BA611" s="3">
        <v>92.29</v>
      </c>
      <c r="BB611" s="3">
        <v>1</v>
      </c>
    </row>
    <row r="612" spans="1:54" ht="78.75" customHeight="1" x14ac:dyDescent="0.25">
      <c r="A612" s="2">
        <v>610</v>
      </c>
      <c r="B612" s="3">
        <v>17</v>
      </c>
      <c r="C612" s="2">
        <v>1</v>
      </c>
      <c r="D612" s="9">
        <v>68</v>
      </c>
      <c r="E612" s="3" t="s">
        <v>16</v>
      </c>
      <c r="F612" s="3">
        <f>IF(E623="Happy", 1,2)</f>
        <v>2</v>
      </c>
      <c r="G612" s="12"/>
      <c r="H612" s="3" t="s">
        <v>26</v>
      </c>
      <c r="I612" s="3">
        <f t="shared" si="76"/>
        <v>2</v>
      </c>
      <c r="J612" s="3" t="s">
        <v>28</v>
      </c>
      <c r="K612" s="3">
        <v>2</v>
      </c>
      <c r="L612" s="6" t="s">
        <v>170</v>
      </c>
      <c r="M612" s="3">
        <v>45</v>
      </c>
      <c r="N612" s="3">
        <f t="shared" si="77"/>
        <v>0.45</v>
      </c>
      <c r="O612" s="3">
        <v>23</v>
      </c>
      <c r="P612" s="3">
        <v>0.23</v>
      </c>
      <c r="Q612" s="17">
        <v>0.33472222222222231</v>
      </c>
      <c r="R612" s="21">
        <v>0.46577916600196012</v>
      </c>
      <c r="S612" s="3">
        <v>3</v>
      </c>
      <c r="T612" s="3">
        <v>119.72</v>
      </c>
      <c r="U612" s="3">
        <v>157.76</v>
      </c>
      <c r="V612" s="26">
        <v>0.91397512367468703</v>
      </c>
      <c r="W612" s="18">
        <v>0.94794449803921599</v>
      </c>
      <c r="X612" s="18">
        <v>-9.5146189321676594E-2</v>
      </c>
      <c r="Y612" s="18">
        <v>-0.32447803037377199</v>
      </c>
      <c r="Z612" s="18">
        <v>-1.7135087724649001</v>
      </c>
      <c r="AA612" s="18">
        <v>-2.07155013783429</v>
      </c>
      <c r="AB612" s="18">
        <v>0.40743735458284602</v>
      </c>
      <c r="AC612" s="18">
        <v>1.9388496165073099</v>
      </c>
      <c r="AD612" s="18">
        <v>-1.1040020240371</v>
      </c>
      <c r="AE612" s="21">
        <v>0.45709468437294898</v>
      </c>
      <c r="AF612" s="3">
        <v>0</v>
      </c>
      <c r="AG612" s="3">
        <v>0.31410100000000002</v>
      </c>
      <c r="AH612" s="3">
        <v>0.34510999999999997</v>
      </c>
      <c r="AI612" s="3">
        <v>0</v>
      </c>
      <c r="AJ612" s="3">
        <v>0.32211200000000001</v>
      </c>
      <c r="AK612" s="3">
        <v>0.14363899999999999</v>
      </c>
      <c r="AL612" s="3">
        <v>0</v>
      </c>
      <c r="AM612" s="3">
        <v>0.23708399999999999</v>
      </c>
      <c r="AN612" s="3">
        <v>0.26296199999999997</v>
      </c>
      <c r="AO612" s="3">
        <v>48.984699999999997</v>
      </c>
      <c r="AP612" s="3">
        <v>0.16769400000000001</v>
      </c>
      <c r="AQ612" s="3">
        <v>-0.57150199999999995</v>
      </c>
      <c r="AR612" s="3">
        <v>54.255699999999997</v>
      </c>
      <c r="AS612" s="3">
        <v>0.311143</v>
      </c>
      <c r="AT612" s="3">
        <v>8.3010700000000007E-2</v>
      </c>
      <c r="AU612" s="3">
        <v>54.097799999999999</v>
      </c>
      <c r="AV612" s="3">
        <v>0.36832700000000002</v>
      </c>
      <c r="AW612" s="3">
        <v>-0.44292199999999998</v>
      </c>
      <c r="AX612" s="3">
        <v>0.25249899999999997</v>
      </c>
      <c r="AY612" s="3">
        <v>0.34911900000000001</v>
      </c>
      <c r="AZ612" s="21">
        <v>7.4345800000000004</v>
      </c>
      <c r="BA612" s="3">
        <v>38.04</v>
      </c>
      <c r="BB612" s="3">
        <v>2</v>
      </c>
    </row>
    <row r="613" spans="1:54" ht="78.75" customHeight="1" x14ac:dyDescent="0.25">
      <c r="A613" s="2">
        <v>611</v>
      </c>
      <c r="B613" s="3">
        <v>17</v>
      </c>
      <c r="C613" s="2">
        <v>1</v>
      </c>
      <c r="D613" s="9">
        <v>68</v>
      </c>
      <c r="E613" s="3" t="s">
        <v>16</v>
      </c>
      <c r="F613" s="3">
        <f t="shared" ref="F613:F620" si="81">IF(E623="Happy", 1,2)</f>
        <v>2</v>
      </c>
      <c r="G613" s="12"/>
      <c r="H613" s="3" t="s">
        <v>26</v>
      </c>
      <c r="I613" s="3">
        <f t="shared" si="76"/>
        <v>2</v>
      </c>
      <c r="J613" s="3" t="s">
        <v>29</v>
      </c>
      <c r="K613" s="3">
        <v>3</v>
      </c>
      <c r="L613" s="6" t="s">
        <v>176</v>
      </c>
      <c r="M613" s="3">
        <v>45</v>
      </c>
      <c r="N613" s="3">
        <f t="shared" si="77"/>
        <v>0.45</v>
      </c>
      <c r="O613" s="3">
        <v>23</v>
      </c>
      <c r="P613" s="3">
        <v>0.23</v>
      </c>
      <c r="Q613" s="17">
        <v>2.453703703703727E-3</v>
      </c>
      <c r="R613" s="21">
        <v>0.22402284098255029</v>
      </c>
      <c r="S613" s="3">
        <v>4</v>
      </c>
      <c r="T613" s="3">
        <v>157.76</v>
      </c>
      <c r="U613" s="3">
        <v>194.66</v>
      </c>
      <c r="V613" s="26">
        <v>-0.682523129623125</v>
      </c>
      <c r="W613" s="18">
        <v>0.85595726599259103</v>
      </c>
      <c r="X613" s="18">
        <v>-0.63914942753585202</v>
      </c>
      <c r="Y613" s="18">
        <v>-1.0185100830345599</v>
      </c>
      <c r="Z613" s="18">
        <v>-1.5546920328559</v>
      </c>
      <c r="AA613" s="18">
        <v>-1.5041922015765601</v>
      </c>
      <c r="AB613" s="18">
        <v>-0.32172102072349401</v>
      </c>
      <c r="AC613" s="18">
        <v>-1.3051288409566099E-2</v>
      </c>
      <c r="AD613" s="18">
        <v>-0.722723369743137</v>
      </c>
      <c r="AE613" s="21">
        <v>1.00775331306948</v>
      </c>
      <c r="AF613" s="3">
        <v>0</v>
      </c>
      <c r="AG613" s="3">
        <v>0.19497</v>
      </c>
      <c r="AH613" s="3">
        <v>-0.189888</v>
      </c>
      <c r="AI613" s="3">
        <v>0</v>
      </c>
      <c r="AJ613" s="3">
        <v>0.24961</v>
      </c>
      <c r="AK613" s="3">
        <v>-0.15030399999999999</v>
      </c>
      <c r="AL613" s="3">
        <v>0</v>
      </c>
      <c r="AM613" s="3">
        <v>0.19663</v>
      </c>
      <c r="AN613" s="3">
        <v>6.0988399999999998E-2</v>
      </c>
      <c r="AO613" s="3">
        <v>55.054200000000002</v>
      </c>
      <c r="AP613" s="3">
        <v>0.26332</v>
      </c>
      <c r="AQ613" s="3">
        <v>0.49143500000000001</v>
      </c>
      <c r="AR613" s="3">
        <v>58.861199999999997</v>
      </c>
      <c r="AS613" s="3">
        <v>0.385241</v>
      </c>
      <c r="AT613" s="3">
        <v>0.37237300000000001</v>
      </c>
      <c r="AU613" s="3">
        <v>57.82</v>
      </c>
      <c r="AV613" s="3">
        <v>0.42598900000000001</v>
      </c>
      <c r="AW613" s="3">
        <v>8.5928400000000002E-2</v>
      </c>
      <c r="AX613" s="3">
        <v>0</v>
      </c>
      <c r="AY613" s="3">
        <v>0.22830500000000001</v>
      </c>
      <c r="AZ613" s="21">
        <v>-6.6511299999999995E-2</v>
      </c>
      <c r="BA613" s="3">
        <v>36.9</v>
      </c>
      <c r="BB613" s="3">
        <v>3</v>
      </c>
    </row>
    <row r="614" spans="1:54" ht="141.75" customHeight="1" x14ac:dyDescent="0.25">
      <c r="A614" s="2">
        <v>612</v>
      </c>
      <c r="B614" s="3">
        <v>17</v>
      </c>
      <c r="C614" s="2">
        <v>1</v>
      </c>
      <c r="D614" s="9">
        <v>68</v>
      </c>
      <c r="E614" s="3" t="s">
        <v>16</v>
      </c>
      <c r="F614" s="3">
        <f t="shared" si="81"/>
        <v>2</v>
      </c>
      <c r="G614" s="12"/>
      <c r="H614" s="3" t="s">
        <v>26</v>
      </c>
      <c r="I614" s="3">
        <f t="shared" si="76"/>
        <v>2</v>
      </c>
      <c r="J614" s="3" t="s">
        <v>30</v>
      </c>
      <c r="K614" s="3">
        <v>4</v>
      </c>
      <c r="L614" s="6" t="s">
        <v>187</v>
      </c>
      <c r="M614" s="3">
        <v>45</v>
      </c>
      <c r="N614" s="3">
        <f t="shared" si="77"/>
        <v>0.45</v>
      </c>
      <c r="O614" s="3">
        <v>23</v>
      </c>
      <c r="P614" s="3">
        <v>0.23</v>
      </c>
      <c r="Q614" s="17">
        <v>0.22662037037037039</v>
      </c>
      <c r="R614" s="21">
        <v>0.22883920206388281</v>
      </c>
      <c r="S614" s="3">
        <v>5</v>
      </c>
      <c r="T614" s="3">
        <v>194.66</v>
      </c>
      <c r="U614" s="3">
        <v>304.95</v>
      </c>
      <c r="V614" s="26">
        <v>1.2834211823353201</v>
      </c>
      <c r="W614" s="18">
        <v>0.76899746468119301</v>
      </c>
      <c r="X614" s="18">
        <v>9.7482818457262695E-3</v>
      </c>
      <c r="Y614" s="18">
        <v>0.42192510658826099</v>
      </c>
      <c r="Z614" s="18">
        <v>-0.50222758413203905</v>
      </c>
      <c r="AA614" s="18">
        <v>-0.33733357421340299</v>
      </c>
      <c r="AB614" s="18">
        <v>0.409392202774015</v>
      </c>
      <c r="AC614" s="18">
        <v>0.63643209136767498</v>
      </c>
      <c r="AD614" s="18">
        <v>0.81216762318384195</v>
      </c>
      <c r="AE614" s="21">
        <v>-0.28245265998111302</v>
      </c>
      <c r="AF614" s="3">
        <v>0.34820499999999999</v>
      </c>
      <c r="AG614" s="3">
        <v>9.0138800000000005E-2</v>
      </c>
      <c r="AH614" s="3">
        <v>4.8388400000000003</v>
      </c>
      <c r="AI614" s="3">
        <v>0</v>
      </c>
      <c r="AJ614" s="3">
        <v>0</v>
      </c>
      <c r="AK614" s="3">
        <v>-0.64590000000000003</v>
      </c>
      <c r="AL614" s="3">
        <v>0</v>
      </c>
      <c r="AM614" s="3">
        <v>0.118004</v>
      </c>
      <c r="AN614" s="3">
        <v>8.0628000000000005E-2</v>
      </c>
      <c r="AO614" s="3">
        <v>52.3613</v>
      </c>
      <c r="AP614" s="3">
        <v>0.30527100000000001</v>
      </c>
      <c r="AQ614" s="3">
        <v>-0.138687</v>
      </c>
      <c r="AR614" s="3">
        <v>52.938000000000002</v>
      </c>
      <c r="AS614" s="3">
        <v>0.54832000000000003</v>
      </c>
      <c r="AT614" s="3">
        <v>0.62512100000000004</v>
      </c>
      <c r="AU614" s="3">
        <v>52.2851</v>
      </c>
      <c r="AV614" s="3">
        <v>0.243142</v>
      </c>
      <c r="AW614" s="3">
        <v>-0.82116999999999996</v>
      </c>
      <c r="AX614" s="3">
        <v>0</v>
      </c>
      <c r="AY614" s="3">
        <v>0.167576</v>
      </c>
      <c r="AZ614" s="21">
        <v>0.43297600000000003</v>
      </c>
      <c r="BA614" s="3">
        <v>110.29</v>
      </c>
      <c r="BB614" s="3">
        <v>4</v>
      </c>
    </row>
    <row r="615" spans="1:54" ht="283.5" customHeight="1" x14ac:dyDescent="0.25">
      <c r="A615" s="2">
        <v>613</v>
      </c>
      <c r="B615" s="3">
        <v>17</v>
      </c>
      <c r="C615" s="2">
        <v>1</v>
      </c>
      <c r="D615" s="9">
        <v>68</v>
      </c>
      <c r="E615" s="3" t="s">
        <v>16</v>
      </c>
      <c r="F615" s="3">
        <f t="shared" si="81"/>
        <v>2</v>
      </c>
      <c r="G615" s="11" t="s">
        <v>38</v>
      </c>
      <c r="H615" s="3" t="s">
        <v>38</v>
      </c>
      <c r="I615" s="3">
        <f t="shared" si="76"/>
        <v>3</v>
      </c>
      <c r="J615" s="3" t="s">
        <v>39</v>
      </c>
      <c r="K615" s="3">
        <v>1</v>
      </c>
      <c r="L615" s="6" t="s">
        <v>296</v>
      </c>
      <c r="M615" s="3">
        <v>90</v>
      </c>
      <c r="N615" s="3">
        <f t="shared" si="77"/>
        <v>0.9</v>
      </c>
      <c r="O615" s="3">
        <v>45</v>
      </c>
      <c r="P615" s="3">
        <v>0.45</v>
      </c>
      <c r="Q615" s="17">
        <v>0.20827991452991451</v>
      </c>
      <c r="R615" s="21">
        <v>0.2052709846585424</v>
      </c>
      <c r="S615" s="3">
        <v>2</v>
      </c>
      <c r="T615" s="3">
        <v>23.36</v>
      </c>
      <c r="U615" s="3">
        <v>195.58</v>
      </c>
      <c r="V615" s="26">
        <v>-0.81167236333011406</v>
      </c>
      <c r="W615" s="18">
        <v>-0.76066286954666795</v>
      </c>
      <c r="X615" s="18">
        <v>-0.40191500385766799</v>
      </c>
      <c r="Y615" s="18">
        <v>4.8032424091539599E-2</v>
      </c>
      <c r="Z615" s="18">
        <v>-0.90667602422193005</v>
      </c>
      <c r="AA615" s="18">
        <v>-0.76152114697134998</v>
      </c>
      <c r="AB615" s="18">
        <v>-0.41468908950739602</v>
      </c>
      <c r="AC615" s="18">
        <v>0.12843010058175799</v>
      </c>
      <c r="AD615" s="18">
        <v>-1.17799576991818</v>
      </c>
      <c r="AE615" s="21">
        <v>1.50238562779979</v>
      </c>
      <c r="AF615" s="3">
        <v>1.4146300000000001</v>
      </c>
      <c r="AG615" s="3">
        <v>0.21080099999999999</v>
      </c>
      <c r="AH615" s="3">
        <v>3.5307499999999998</v>
      </c>
      <c r="AI615" s="3">
        <v>0</v>
      </c>
      <c r="AJ615" s="3">
        <v>0</v>
      </c>
      <c r="AK615" s="3">
        <v>-0.48775499999999999</v>
      </c>
      <c r="AL615" s="3">
        <v>0</v>
      </c>
      <c r="AM615" s="3">
        <v>0</v>
      </c>
      <c r="AN615" s="3">
        <v>-0.51211300000000004</v>
      </c>
      <c r="AO615" s="3">
        <v>49.763100000000001</v>
      </c>
      <c r="AP615" s="3">
        <v>9.4983300000000007E-2</v>
      </c>
      <c r="AQ615" s="3">
        <v>-0.30238700000000002</v>
      </c>
      <c r="AR615" s="3">
        <v>53.693399999999997</v>
      </c>
      <c r="AS615" s="3">
        <v>0.34053</v>
      </c>
      <c r="AT615" s="3">
        <v>0.64592099999999997</v>
      </c>
      <c r="AU615" s="3">
        <v>51.379800000000003</v>
      </c>
      <c r="AV615" s="3">
        <v>0.17660699999999999</v>
      </c>
      <c r="AW615" s="3">
        <v>-0.42189900000000002</v>
      </c>
      <c r="AX615" s="3">
        <v>4.8780499999999997E-2</v>
      </c>
      <c r="AY615" s="3">
        <v>6.4990800000000001E-2</v>
      </c>
      <c r="AZ615" s="21">
        <v>2.22465</v>
      </c>
      <c r="BA615" s="3">
        <v>172.22</v>
      </c>
      <c r="BB615" s="3">
        <v>1</v>
      </c>
    </row>
    <row r="616" spans="1:54" ht="141.75" customHeight="1" x14ac:dyDescent="0.25">
      <c r="A616" s="2">
        <v>614</v>
      </c>
      <c r="B616" s="3">
        <v>17</v>
      </c>
      <c r="C616" s="2">
        <v>1</v>
      </c>
      <c r="D616" s="9">
        <v>68</v>
      </c>
      <c r="E616" s="3" t="s">
        <v>16</v>
      </c>
      <c r="F616" s="3">
        <f t="shared" si="81"/>
        <v>2</v>
      </c>
      <c r="G616" s="12"/>
      <c r="H616" s="3" t="s">
        <v>38</v>
      </c>
      <c r="I616" s="3">
        <f t="shared" si="76"/>
        <v>3</v>
      </c>
      <c r="J616" s="3" t="s">
        <v>40</v>
      </c>
      <c r="K616" s="3">
        <v>2</v>
      </c>
      <c r="L616" s="6" t="s">
        <v>241</v>
      </c>
      <c r="M616" s="3">
        <v>90</v>
      </c>
      <c r="N616" s="3">
        <f t="shared" si="77"/>
        <v>0.9</v>
      </c>
      <c r="O616" s="3">
        <v>45</v>
      </c>
      <c r="P616" s="3">
        <v>0.45</v>
      </c>
      <c r="Q616" s="17">
        <v>0.24367857142857141</v>
      </c>
      <c r="R616" s="21">
        <v>0.31835896649477152</v>
      </c>
      <c r="S616" s="3">
        <v>3</v>
      </c>
      <c r="T616" s="3">
        <v>195.58</v>
      </c>
      <c r="U616" s="3">
        <v>259.52999999999997</v>
      </c>
      <c r="V616" s="26">
        <v>-0.13662870099018901</v>
      </c>
      <c r="W616" s="18">
        <v>0.77357623717232205</v>
      </c>
      <c r="X616" s="18">
        <v>-0.33485155837089298</v>
      </c>
      <c r="Y616" s="18">
        <v>-0.268446601470827</v>
      </c>
      <c r="Z616" s="18">
        <v>-1.11964587229088</v>
      </c>
      <c r="AA616" s="18">
        <v>-0.96663789873470096</v>
      </c>
      <c r="AB616" s="18">
        <v>-0.235143801795337</v>
      </c>
      <c r="AC616" s="18">
        <v>1.3916567880042801</v>
      </c>
      <c r="AD616" s="18">
        <v>-1.84068069093086</v>
      </c>
      <c r="AE616" s="21">
        <v>2.4276201841561802</v>
      </c>
      <c r="AF616" s="3">
        <v>0.48795699999999997</v>
      </c>
      <c r="AG616" s="3">
        <v>9.6833199999999994E-2</v>
      </c>
      <c r="AH616" s="3">
        <v>3.01783</v>
      </c>
      <c r="AI616" s="3">
        <v>0</v>
      </c>
      <c r="AJ616" s="3">
        <v>0</v>
      </c>
      <c r="AK616" s="3">
        <v>-0.48775499999999999</v>
      </c>
      <c r="AL616" s="3">
        <v>0</v>
      </c>
      <c r="AM616" s="3">
        <v>0.16108</v>
      </c>
      <c r="AN616" s="3">
        <v>0.94175699999999996</v>
      </c>
      <c r="AO616" s="3">
        <v>47.031599999999997</v>
      </c>
      <c r="AP616" s="3">
        <v>0.36654999999999999</v>
      </c>
      <c r="AQ616" s="3">
        <v>0.79946700000000004</v>
      </c>
      <c r="AR616" s="3">
        <v>54.013100000000001</v>
      </c>
      <c r="AS616" s="3">
        <v>0.42977300000000002</v>
      </c>
      <c r="AT616" s="3">
        <v>0.56564400000000004</v>
      </c>
      <c r="AU616" s="3">
        <v>49.996899999999997</v>
      </c>
      <c r="AV616" s="3">
        <v>0.377716</v>
      </c>
      <c r="AW616" s="3">
        <v>-0.25306099999999998</v>
      </c>
      <c r="AX616" s="3">
        <v>0</v>
      </c>
      <c r="AY616" s="3">
        <v>1.8068799999999999E-2</v>
      </c>
      <c r="AZ616" s="21">
        <v>-0.44131300000000001</v>
      </c>
      <c r="BA616" s="3">
        <v>63.95</v>
      </c>
      <c r="BB616" s="3">
        <v>2</v>
      </c>
    </row>
    <row r="617" spans="1:54" ht="31.5" customHeight="1" x14ac:dyDescent="0.25">
      <c r="A617" s="2">
        <v>615</v>
      </c>
      <c r="B617" s="3">
        <v>17</v>
      </c>
      <c r="C617" s="2">
        <v>1</v>
      </c>
      <c r="D617" s="9">
        <v>68</v>
      </c>
      <c r="E617" s="3" t="s">
        <v>16</v>
      </c>
      <c r="F617" s="3">
        <f t="shared" si="81"/>
        <v>2</v>
      </c>
      <c r="G617" s="12"/>
      <c r="H617" s="3" t="s">
        <v>38</v>
      </c>
      <c r="I617" s="3">
        <f t="shared" si="76"/>
        <v>3</v>
      </c>
      <c r="J617" s="3" t="s">
        <v>41</v>
      </c>
      <c r="K617" s="3">
        <v>3</v>
      </c>
      <c r="L617" s="6" t="s">
        <v>160</v>
      </c>
      <c r="M617" s="3">
        <v>90</v>
      </c>
      <c r="N617" s="3">
        <f t="shared" si="77"/>
        <v>0.9</v>
      </c>
      <c r="O617" s="3">
        <v>45</v>
      </c>
      <c r="P617" s="3">
        <v>0.45</v>
      </c>
      <c r="Q617" s="17">
        <v>9.2499999999999999E-2</v>
      </c>
      <c r="R617" s="21">
        <v>0.1008402201504935</v>
      </c>
      <c r="S617" s="3">
        <v>4</v>
      </c>
      <c r="T617" s="3">
        <v>259.52999999999997</v>
      </c>
      <c r="U617" s="3">
        <v>287.99</v>
      </c>
      <c r="V617" s="26">
        <v>-0.12949259172802299</v>
      </c>
      <c r="W617" s="18">
        <v>-1.8130430221052101</v>
      </c>
      <c r="X617" s="18">
        <v>3.0843622930025599E-2</v>
      </c>
      <c r="Y617" s="18">
        <v>0.30965747425919998</v>
      </c>
      <c r="Z617" s="18">
        <v>1.2760827891962601</v>
      </c>
      <c r="AA617" s="18">
        <v>1.8958417886241901</v>
      </c>
      <c r="AB617" s="18">
        <v>6.2519428544711098E-2</v>
      </c>
      <c r="AC617" s="18">
        <v>-0.82817141627420898</v>
      </c>
      <c r="AD617" s="18">
        <v>0.17363610108570701</v>
      </c>
      <c r="AE617" s="21">
        <v>0.60756535616793095</v>
      </c>
      <c r="AF617" s="3">
        <v>7.2573800000000004</v>
      </c>
      <c r="AG617" s="3">
        <v>0.387984</v>
      </c>
      <c r="AH617" s="3">
        <v>3.63686</v>
      </c>
      <c r="AI617" s="3">
        <v>0</v>
      </c>
      <c r="AJ617" s="3">
        <v>0</v>
      </c>
      <c r="AK617" s="3">
        <v>-0.48775499999999999</v>
      </c>
      <c r="AL617" s="3">
        <v>0</v>
      </c>
      <c r="AM617" s="3">
        <v>1.03955E-2</v>
      </c>
      <c r="AN617" s="3">
        <v>-0.49172100000000002</v>
      </c>
      <c r="AO617" s="3">
        <v>47.890300000000003</v>
      </c>
      <c r="AP617" s="3">
        <v>0.140787</v>
      </c>
      <c r="AQ617" s="3">
        <v>0.209207</v>
      </c>
      <c r="AR617" s="3">
        <v>54.345999999999997</v>
      </c>
      <c r="AS617" s="3">
        <v>0.346524</v>
      </c>
      <c r="AT617" s="3">
        <v>0.65531700000000004</v>
      </c>
      <c r="AU617" s="3">
        <v>49.240499999999997</v>
      </c>
      <c r="AV617" s="3">
        <v>0.40208500000000003</v>
      </c>
      <c r="AW617" s="3">
        <v>0.33164900000000003</v>
      </c>
      <c r="AX617" s="3">
        <v>0</v>
      </c>
      <c r="AY617" s="3">
        <v>0.252496</v>
      </c>
      <c r="AZ617" s="21">
        <v>-0.17479700000000001</v>
      </c>
      <c r="BA617" s="3">
        <v>28.456</v>
      </c>
      <c r="BB617" s="3">
        <v>3</v>
      </c>
    </row>
    <row r="618" spans="1:54" ht="220.5" customHeight="1" x14ac:dyDescent="0.25">
      <c r="A618" s="2">
        <v>616</v>
      </c>
      <c r="B618" s="3">
        <v>17</v>
      </c>
      <c r="C618" s="2">
        <v>1</v>
      </c>
      <c r="D618" s="9">
        <v>68</v>
      </c>
      <c r="E618" s="3" t="s">
        <v>16</v>
      </c>
      <c r="F618" s="3">
        <f t="shared" si="81"/>
        <v>2</v>
      </c>
      <c r="G618" s="12"/>
      <c r="H618" s="3" t="s">
        <v>38</v>
      </c>
      <c r="I618" s="3">
        <f t="shared" si="76"/>
        <v>3</v>
      </c>
      <c r="J618" s="3" t="s">
        <v>42</v>
      </c>
      <c r="K618" s="3">
        <v>4</v>
      </c>
      <c r="L618" s="6" t="s">
        <v>297</v>
      </c>
      <c r="M618" s="3">
        <v>90</v>
      </c>
      <c r="N618" s="3">
        <f t="shared" si="77"/>
        <v>0.9</v>
      </c>
      <c r="O618" s="3">
        <v>45</v>
      </c>
      <c r="P618" s="3">
        <v>0.45</v>
      </c>
      <c r="Q618" s="17">
        <v>-6.1202876984126978E-2</v>
      </c>
      <c r="R618" s="21">
        <v>0.43285567796150459</v>
      </c>
      <c r="S618" s="3">
        <v>5</v>
      </c>
      <c r="T618" s="3">
        <v>287.99</v>
      </c>
      <c r="U618" s="3">
        <v>486.65</v>
      </c>
      <c r="V618" s="26">
        <v>2.6925158828488098</v>
      </c>
      <c r="W618" s="18">
        <v>1.9835706454825599</v>
      </c>
      <c r="X618" s="18">
        <v>4.0079248698425198</v>
      </c>
      <c r="Y618" s="18">
        <v>3.57391695451367</v>
      </c>
      <c r="Z618" s="18">
        <v>1.8459046232826799</v>
      </c>
      <c r="AA618" s="18">
        <v>1.3449383617489701</v>
      </c>
      <c r="AB618" s="18">
        <v>-3.7822910311418498</v>
      </c>
      <c r="AC618" s="18">
        <v>-3.1236699801700101</v>
      </c>
      <c r="AD618" s="18">
        <v>4.5393054467978901E-2</v>
      </c>
      <c r="AE618" s="21">
        <v>0.77884580172179396</v>
      </c>
      <c r="AF618" s="3">
        <v>3.6488100000000001</v>
      </c>
      <c r="AG618" s="3">
        <v>0.224277</v>
      </c>
      <c r="AH618" s="3">
        <v>3.2463199999999999</v>
      </c>
      <c r="AI618" s="3">
        <v>0.45308100000000001</v>
      </c>
      <c r="AJ618" s="3">
        <v>6.4682400000000001E-2</v>
      </c>
      <c r="AK618" s="3">
        <v>5.3454699999999997</v>
      </c>
      <c r="AL618" s="3">
        <v>0.11478099999999999</v>
      </c>
      <c r="AM618" s="3">
        <v>0.20808199999999999</v>
      </c>
      <c r="AN618" s="3">
        <v>6.8282800000000003</v>
      </c>
      <c r="AO618" s="3">
        <v>42.178800000000003</v>
      </c>
      <c r="AP618" s="3">
        <v>0.16147600000000001</v>
      </c>
      <c r="AQ618" s="3">
        <v>8.0794000000000005E-2</v>
      </c>
      <c r="AR618" s="3">
        <v>41.4358</v>
      </c>
      <c r="AS618" s="3">
        <v>0.18069299999999999</v>
      </c>
      <c r="AT618" s="3">
        <v>-0.41871799999999998</v>
      </c>
      <c r="AU618" s="3">
        <v>44.800600000000003</v>
      </c>
      <c r="AV618" s="3">
        <v>0.34148299999999998</v>
      </c>
      <c r="AW618" s="3">
        <v>-4.7936699999999999E-2</v>
      </c>
      <c r="AX618" s="3">
        <v>4.10189</v>
      </c>
      <c r="AY618" s="3">
        <v>0.86109599999999997</v>
      </c>
      <c r="AZ618" s="21">
        <v>5.90951</v>
      </c>
      <c r="BA618" s="3">
        <v>198.66399999999999</v>
      </c>
      <c r="BB618" s="3">
        <v>4</v>
      </c>
    </row>
    <row r="619" spans="1:54" ht="189" customHeight="1" x14ac:dyDescent="0.25">
      <c r="A619" s="2">
        <v>617</v>
      </c>
      <c r="B619" s="3">
        <v>17</v>
      </c>
      <c r="C619" s="2">
        <v>1</v>
      </c>
      <c r="D619" s="9">
        <v>68</v>
      </c>
      <c r="E619" s="3" t="s">
        <v>53</v>
      </c>
      <c r="F619" s="3">
        <f t="shared" si="81"/>
        <v>2</v>
      </c>
      <c r="G619" s="11" t="s">
        <v>54</v>
      </c>
      <c r="H619" s="3" t="s">
        <v>54</v>
      </c>
      <c r="I619" s="3">
        <f t="shared" si="76"/>
        <v>1</v>
      </c>
      <c r="J619" s="3" t="s">
        <v>55</v>
      </c>
      <c r="K619" s="3">
        <v>1</v>
      </c>
      <c r="L619" s="6" t="s">
        <v>217</v>
      </c>
      <c r="M619" s="3">
        <v>-66</v>
      </c>
      <c r="N619" s="3">
        <f t="shared" si="77"/>
        <v>-0.66</v>
      </c>
      <c r="O619" s="3">
        <v>-42</v>
      </c>
      <c r="P619" s="3">
        <v>-0.42</v>
      </c>
      <c r="Q619" s="17">
        <v>4.6249999999999999E-2</v>
      </c>
      <c r="R619" s="21">
        <v>0.27787921758904749</v>
      </c>
      <c r="S619" s="3">
        <v>2</v>
      </c>
      <c r="T619" s="3">
        <v>27.14</v>
      </c>
      <c r="U619" s="3">
        <v>108.25</v>
      </c>
      <c r="V619" s="26">
        <v>-1.3817183979332399</v>
      </c>
      <c r="W619" s="18">
        <v>-1.8528383937563</v>
      </c>
      <c r="X619" s="18">
        <v>-0.56278206801313202</v>
      </c>
      <c r="Y619" s="18">
        <v>6.7588391054467997E-2</v>
      </c>
      <c r="Z619" s="18">
        <v>1.1257654163859001</v>
      </c>
      <c r="AA619" s="18">
        <v>1.0742455505347299</v>
      </c>
      <c r="AB619" s="18">
        <v>5.3083526698871501E-2</v>
      </c>
      <c r="AC619" s="18">
        <v>3.3534046990016803E-2</v>
      </c>
      <c r="AD619" s="18">
        <v>-0.56035885481755299</v>
      </c>
      <c r="AE619" s="21">
        <v>-1.7519428377235999</v>
      </c>
      <c r="AF619" s="3">
        <v>1.7459899999999999</v>
      </c>
      <c r="AG619" s="3">
        <v>8.3110000000000003E-2</v>
      </c>
      <c r="AH619" s="3">
        <v>4.6083600000000002</v>
      </c>
      <c r="AI619" s="3">
        <v>8.8779300000000005E-2</v>
      </c>
      <c r="AJ619" s="3">
        <v>6.6156400000000004E-2</v>
      </c>
      <c r="AK619" s="3">
        <v>1.6563699999999999</v>
      </c>
      <c r="AL619" s="3">
        <v>0</v>
      </c>
      <c r="AM619" s="3">
        <v>0</v>
      </c>
      <c r="AN619" s="3">
        <v>-0.513629</v>
      </c>
      <c r="AO619" s="3">
        <v>5.7558600000000002</v>
      </c>
      <c r="AP619" s="3">
        <v>0.12522</v>
      </c>
      <c r="AQ619" s="3">
        <v>0.111219</v>
      </c>
      <c r="AR619" s="3">
        <v>49.805199999999999</v>
      </c>
      <c r="AS619" s="3">
        <v>5.38789E-2</v>
      </c>
      <c r="AT619" s="3">
        <v>-0.64840299999999995</v>
      </c>
      <c r="AU619" s="3">
        <v>51.388399999999997</v>
      </c>
      <c r="AV619" s="3">
        <v>0.259718</v>
      </c>
      <c r="AW619" s="3">
        <v>2.6641100000000001E-2</v>
      </c>
      <c r="AX619" s="3">
        <v>0</v>
      </c>
      <c r="AY619" s="3">
        <v>1.9735099999999998E-2</v>
      </c>
      <c r="AZ619" s="21">
        <v>-0.63568100000000005</v>
      </c>
      <c r="BA619" s="3">
        <v>81.111999999999995</v>
      </c>
      <c r="BB619" s="3">
        <v>1</v>
      </c>
    </row>
    <row r="620" spans="1:54" ht="315" customHeight="1" x14ac:dyDescent="0.25">
      <c r="A620" s="2">
        <v>618</v>
      </c>
      <c r="B620" s="3">
        <v>17</v>
      </c>
      <c r="C620" s="2">
        <v>1</v>
      </c>
      <c r="D620" s="9">
        <v>68</v>
      </c>
      <c r="E620" s="3" t="s">
        <v>53</v>
      </c>
      <c r="F620" s="3">
        <f t="shared" si="81"/>
        <v>2</v>
      </c>
      <c r="G620" s="12"/>
      <c r="H620" s="3" t="s">
        <v>54</v>
      </c>
      <c r="I620" s="3">
        <f t="shared" si="76"/>
        <v>1</v>
      </c>
      <c r="J620" s="3" t="s">
        <v>56</v>
      </c>
      <c r="K620" s="3">
        <v>2</v>
      </c>
      <c r="L620" s="6" t="s">
        <v>252</v>
      </c>
      <c r="M620" s="3">
        <v>-66</v>
      </c>
      <c r="N620" s="3">
        <f t="shared" si="77"/>
        <v>-0.66</v>
      </c>
      <c r="O620" s="3">
        <v>-42</v>
      </c>
      <c r="P620" s="3">
        <v>-0.42</v>
      </c>
      <c r="Q620" s="17">
        <v>4.7865823412698412E-2</v>
      </c>
      <c r="R620" s="21">
        <v>0.20906425222394129</v>
      </c>
      <c r="S620" s="3">
        <v>3</v>
      </c>
      <c r="T620" s="3">
        <v>108.25</v>
      </c>
      <c r="U620" s="3">
        <v>281.60000000000002</v>
      </c>
      <c r="V620" s="26">
        <v>-0.779129553503905</v>
      </c>
      <c r="W620" s="18">
        <v>-0.514521581630901</v>
      </c>
      <c r="X620" s="18">
        <v>-0.60034327781991303</v>
      </c>
      <c r="Y620" s="18">
        <v>7.1735075148701005E-2</v>
      </c>
      <c r="Z620" s="18">
        <v>0.88766172649809905</v>
      </c>
      <c r="AA620" s="18">
        <v>0.94381936587042603</v>
      </c>
      <c r="AB620" s="18">
        <v>0.129848911436732</v>
      </c>
      <c r="AC620" s="18">
        <v>7.6175650292278699E-2</v>
      </c>
      <c r="AD620" s="18">
        <v>-0.48694018986300902</v>
      </c>
      <c r="AE620" s="21">
        <v>-0.745069938159303</v>
      </c>
      <c r="AF620" s="3">
        <v>0.28386800000000001</v>
      </c>
      <c r="AG620" s="3">
        <v>0.37705499999999997</v>
      </c>
      <c r="AH620" s="3">
        <v>5.4532400000000001</v>
      </c>
      <c r="AI620" s="3">
        <v>3.3025600000000002</v>
      </c>
      <c r="AJ620" s="3">
        <v>7.7089599999999994E-2</v>
      </c>
      <c r="AK620" s="3">
        <v>1.63348</v>
      </c>
      <c r="AL620" s="3">
        <v>0</v>
      </c>
      <c r="AM620" s="3">
        <v>1.2935200000000001E-2</v>
      </c>
      <c r="AN620" s="3">
        <v>-0.48507400000000001</v>
      </c>
      <c r="AO620" s="3">
        <v>13.604900000000001</v>
      </c>
      <c r="AP620" s="3">
        <v>5.3913500000000003E-2</v>
      </c>
      <c r="AQ620" s="3">
        <v>-3.2926299999999999E-2</v>
      </c>
      <c r="AR620" s="3">
        <v>43.916499999999999</v>
      </c>
      <c r="AS620" s="3">
        <v>0.26106499999999999</v>
      </c>
      <c r="AT620" s="3">
        <v>7.9152200000000006E-2</v>
      </c>
      <c r="AU620" s="3">
        <v>45.335799999999999</v>
      </c>
      <c r="AV620" s="3">
        <v>0.177675</v>
      </c>
      <c r="AW620" s="3">
        <v>-0.120702</v>
      </c>
      <c r="AX620" s="3">
        <v>0.131549</v>
      </c>
      <c r="AY620" s="3">
        <v>0.22666900000000001</v>
      </c>
      <c r="AZ620" s="21">
        <v>6.3507400000000001</v>
      </c>
      <c r="BA620" s="3">
        <v>173.34800000000001</v>
      </c>
      <c r="BB620" s="3">
        <v>2</v>
      </c>
    </row>
    <row r="621" spans="1:54" ht="47.25" customHeight="1" x14ac:dyDescent="0.25">
      <c r="A621" s="2">
        <v>619</v>
      </c>
      <c r="B621" s="3">
        <v>17</v>
      </c>
      <c r="C621" s="2">
        <v>1</v>
      </c>
      <c r="D621" s="9">
        <v>68</v>
      </c>
      <c r="E621" s="3" t="s">
        <v>53</v>
      </c>
      <c r="F621" s="3">
        <f>IF(E622="Happy", 1,2)</f>
        <v>2</v>
      </c>
      <c r="G621" s="12"/>
      <c r="H621" s="3" t="s">
        <v>54</v>
      </c>
      <c r="I621" s="3">
        <f t="shared" si="76"/>
        <v>1</v>
      </c>
      <c r="J621" s="3" t="s">
        <v>57</v>
      </c>
      <c r="K621" s="3">
        <v>3</v>
      </c>
      <c r="L621" s="6" t="s">
        <v>148</v>
      </c>
      <c r="M621" s="3">
        <v>-66</v>
      </c>
      <c r="N621" s="3">
        <f t="shared" si="77"/>
        <v>-0.66</v>
      </c>
      <c r="O621" s="3">
        <v>-42</v>
      </c>
      <c r="P621" s="3">
        <v>-0.42</v>
      </c>
      <c r="Q621" s="17">
        <v>0.17892857142857141</v>
      </c>
      <c r="R621" s="21">
        <v>0.1216248413804365</v>
      </c>
      <c r="S621" s="3">
        <v>4</v>
      </c>
      <c r="T621" s="3">
        <v>281.60000000000002</v>
      </c>
      <c r="U621" s="3">
        <v>306.77999999999997</v>
      </c>
      <c r="V621" s="26">
        <v>-0.20842011175830999</v>
      </c>
      <c r="W621" s="18">
        <v>-0.73193644991775697</v>
      </c>
      <c r="X621" s="18">
        <v>-1.4054685200700001E-2</v>
      </c>
      <c r="Y621" s="18">
        <v>-1.0387315671977999</v>
      </c>
      <c r="Z621" s="18">
        <v>-1.1298451124492599</v>
      </c>
      <c r="AA621" s="18">
        <v>-0.63750738140463803</v>
      </c>
      <c r="AB621" s="18">
        <v>1.0901680853489</v>
      </c>
      <c r="AC621" s="18">
        <v>0.882422380937954</v>
      </c>
      <c r="AD621" s="18">
        <v>0.63810979608534102</v>
      </c>
      <c r="AE621" s="21">
        <v>0.484307465442254</v>
      </c>
      <c r="AF621" s="3">
        <v>1.0969800000000001</v>
      </c>
      <c r="AG621" s="3">
        <v>0.45824999999999999</v>
      </c>
      <c r="AH621" s="3">
        <v>6.2423900000000003</v>
      </c>
      <c r="AI621" s="3">
        <v>22.035</v>
      </c>
      <c r="AJ621" s="3">
        <v>9.0074000000000001E-2</v>
      </c>
      <c r="AK621" s="3">
        <v>1.9451400000000001</v>
      </c>
      <c r="AL621" s="3">
        <v>0</v>
      </c>
      <c r="AM621" s="3">
        <v>2.12818E-2</v>
      </c>
      <c r="AN621" s="3">
        <v>-0.348993</v>
      </c>
      <c r="AO621" s="3">
        <v>10.492800000000001</v>
      </c>
      <c r="AP621" s="3">
        <v>7.1490100000000001E-2</v>
      </c>
      <c r="AQ621" s="3">
        <v>0.10304199999999999</v>
      </c>
      <c r="AR621" s="3">
        <v>42.543700000000001</v>
      </c>
      <c r="AS621" s="3">
        <v>9.2974899999999999E-2</v>
      </c>
      <c r="AT621" s="3">
        <v>-0.51364500000000002</v>
      </c>
      <c r="AU621" s="3">
        <v>52.416499999999999</v>
      </c>
      <c r="AV621" s="3">
        <v>0.340366</v>
      </c>
      <c r="AW621" s="3">
        <v>4.1537900000000003E-2</v>
      </c>
      <c r="AX621" s="3">
        <v>0</v>
      </c>
      <c r="AY621" s="3">
        <v>0.11369</v>
      </c>
      <c r="AZ621" s="21">
        <v>-0.39657999999999999</v>
      </c>
      <c r="BA621" s="3">
        <v>25.18</v>
      </c>
      <c r="BB621" s="3">
        <v>3</v>
      </c>
    </row>
    <row r="622" spans="1:54" ht="173.25" customHeight="1" x14ac:dyDescent="0.25">
      <c r="A622" s="2">
        <v>620</v>
      </c>
      <c r="B622" s="3">
        <v>17</v>
      </c>
      <c r="C622" s="2">
        <v>1</v>
      </c>
      <c r="D622" s="9">
        <v>68</v>
      </c>
      <c r="E622" s="3" t="s">
        <v>53</v>
      </c>
      <c r="F622" s="3">
        <f>IF(E623="Happy", 1,2)</f>
        <v>2</v>
      </c>
      <c r="G622" s="12"/>
      <c r="H622" s="3" t="s">
        <v>54</v>
      </c>
      <c r="I622" s="3">
        <f t="shared" si="76"/>
        <v>1</v>
      </c>
      <c r="J622" s="3" t="s">
        <v>58</v>
      </c>
      <c r="K622" s="3">
        <v>4</v>
      </c>
      <c r="L622" s="6" t="s">
        <v>269</v>
      </c>
      <c r="M622" s="3">
        <v>-66</v>
      </c>
      <c r="N622" s="3">
        <f t="shared" si="77"/>
        <v>-0.66</v>
      </c>
      <c r="O622" s="3">
        <v>-42</v>
      </c>
      <c r="P622" s="3">
        <v>-0.42</v>
      </c>
      <c r="Q622" s="17">
        <v>0.19303571428571431</v>
      </c>
      <c r="R622" s="21">
        <v>0.26524105849916341</v>
      </c>
      <c r="S622" s="3">
        <v>5</v>
      </c>
      <c r="T622" s="3">
        <v>306.77999999999997</v>
      </c>
      <c r="U622" s="3">
        <v>403.47</v>
      </c>
      <c r="V622" s="26">
        <v>-0.60357767967006504</v>
      </c>
      <c r="W622" s="18">
        <v>0.113649128132008</v>
      </c>
      <c r="X622" s="18">
        <v>-0.47841963812322302</v>
      </c>
      <c r="Y622" s="18">
        <v>-0.107365842180632</v>
      </c>
      <c r="Z622" s="18">
        <v>-0.32531933519449102</v>
      </c>
      <c r="AA622" s="18">
        <v>-0.63722507364562397</v>
      </c>
      <c r="AB622" s="18">
        <v>-0.74494565411175695</v>
      </c>
      <c r="AC622" s="18">
        <v>0.123253952204026</v>
      </c>
      <c r="AD622" s="18">
        <v>0.94788672184654899</v>
      </c>
      <c r="AE622" s="21">
        <v>-1.17727293161298</v>
      </c>
      <c r="AF622" s="3">
        <v>0</v>
      </c>
      <c r="AG622" s="3">
        <v>0.21673300000000001</v>
      </c>
      <c r="AH622" s="3">
        <v>-0.26639400000000002</v>
      </c>
      <c r="AI622" s="3">
        <v>4.6048799999999996</v>
      </c>
      <c r="AJ622" s="3">
        <v>7.6376299999999994E-2</v>
      </c>
      <c r="AK622" s="3">
        <v>1.64076</v>
      </c>
      <c r="AL622" s="3">
        <v>0</v>
      </c>
      <c r="AM622" s="3">
        <v>0</v>
      </c>
      <c r="AN622" s="3">
        <v>-0.513629</v>
      </c>
      <c r="AO622" s="3">
        <v>41.059199999999997</v>
      </c>
      <c r="AP622" s="3">
        <v>0.44525300000000001</v>
      </c>
      <c r="AQ622" s="3">
        <v>1.3974800000000001</v>
      </c>
      <c r="AR622" s="3">
        <v>48.034799999999997</v>
      </c>
      <c r="AS622" s="3">
        <v>0.25907200000000002</v>
      </c>
      <c r="AT622" s="3">
        <v>0.74143400000000004</v>
      </c>
      <c r="AU622" s="3">
        <v>47.041800000000002</v>
      </c>
      <c r="AV622" s="3">
        <v>0.40128999999999998</v>
      </c>
      <c r="AW622" s="3">
        <v>0.26006299999999999</v>
      </c>
      <c r="AX622" s="3">
        <v>7.4472499999999997E-2</v>
      </c>
      <c r="AY622" s="3">
        <v>0.313969</v>
      </c>
      <c r="AZ622" s="21">
        <v>6.5578399999999997</v>
      </c>
      <c r="BA622" s="3">
        <v>96.69</v>
      </c>
      <c r="BB622" s="3">
        <v>4</v>
      </c>
    </row>
    <row r="623" spans="1:54" ht="110.25" customHeight="1" x14ac:dyDescent="0.25">
      <c r="A623" s="2">
        <v>621</v>
      </c>
      <c r="B623" s="3">
        <v>17</v>
      </c>
      <c r="C623" s="2">
        <v>1</v>
      </c>
      <c r="D623" s="9">
        <v>68</v>
      </c>
      <c r="E623" s="3" t="s">
        <v>53</v>
      </c>
      <c r="F623" s="3">
        <f>IF(E623="Happy", 1,2)</f>
        <v>2</v>
      </c>
      <c r="G623" s="12"/>
      <c r="H623" s="3" t="s">
        <v>54</v>
      </c>
      <c r="I623" s="3">
        <f t="shared" si="76"/>
        <v>1</v>
      </c>
      <c r="J623" s="3" t="s">
        <v>59</v>
      </c>
      <c r="K623" s="3">
        <v>5</v>
      </c>
      <c r="L623" s="6" t="s">
        <v>184</v>
      </c>
      <c r="M623" s="3">
        <v>-66</v>
      </c>
      <c r="N623" s="3">
        <f t="shared" si="77"/>
        <v>-0.66</v>
      </c>
      <c r="O623" s="3">
        <v>-42</v>
      </c>
      <c r="P623" s="3">
        <v>-0.42</v>
      </c>
      <c r="Q623" s="17">
        <v>0.14374999999999999</v>
      </c>
      <c r="R623" s="21">
        <v>0.24971859161864579</v>
      </c>
      <c r="S623" s="3">
        <v>6</v>
      </c>
      <c r="T623" s="3">
        <v>403.47</v>
      </c>
      <c r="U623" s="3">
        <v>482.64</v>
      </c>
      <c r="V623" s="26">
        <v>0.25483530283109801</v>
      </c>
      <c r="W623" s="18">
        <v>0.57063520676011104</v>
      </c>
      <c r="X623" s="18">
        <v>-0.180204460149406</v>
      </c>
      <c r="Y623" s="18">
        <v>-0.64960877954015706</v>
      </c>
      <c r="Z623" s="18">
        <v>1.5240214606653499</v>
      </c>
      <c r="AA623" s="18">
        <v>0.93434189110353805</v>
      </c>
      <c r="AB623" s="18">
        <v>0.63807184790643701</v>
      </c>
      <c r="AC623" s="18">
        <v>-0.90137694333069496</v>
      </c>
      <c r="AD623" s="18">
        <v>1.9954924763546</v>
      </c>
      <c r="AE623" s="21">
        <v>-1.30853458147668</v>
      </c>
      <c r="AF623" s="3">
        <v>0</v>
      </c>
      <c r="AG623" s="3">
        <v>0.26692900000000003</v>
      </c>
      <c r="AH623" s="3">
        <v>0.250448</v>
      </c>
      <c r="AI623" s="3">
        <v>0.106141</v>
      </c>
      <c r="AJ623" s="3">
        <v>2.49762E-2</v>
      </c>
      <c r="AK623" s="3">
        <v>1.4668300000000001</v>
      </c>
      <c r="AL623" s="3">
        <v>0</v>
      </c>
      <c r="AM623" s="3">
        <v>0</v>
      </c>
      <c r="AN623" s="3">
        <v>-0.513629</v>
      </c>
      <c r="AO623" s="3">
        <v>57.801400000000001</v>
      </c>
      <c r="AP623" s="3">
        <v>0.28148400000000001</v>
      </c>
      <c r="AQ623" s="3">
        <v>0.971939</v>
      </c>
      <c r="AR623" s="3">
        <v>57.755899999999997</v>
      </c>
      <c r="AS623" s="3">
        <v>0.19991900000000001</v>
      </c>
      <c r="AT623" s="3">
        <v>0.58581099999999997</v>
      </c>
      <c r="AU623" s="3">
        <v>54.344200000000001</v>
      </c>
      <c r="AV623" s="3">
        <v>0.50716499999999998</v>
      </c>
      <c r="AW623" s="3">
        <v>0.538825</v>
      </c>
      <c r="AX623" s="3">
        <v>0</v>
      </c>
      <c r="AY623" s="3">
        <v>0.269125</v>
      </c>
      <c r="AZ623" s="21">
        <v>0.15457799999999999</v>
      </c>
      <c r="BA623" s="3">
        <v>79.17</v>
      </c>
      <c r="BB623" s="3">
        <v>5</v>
      </c>
    </row>
    <row r="624" spans="1:54" ht="220.5" customHeight="1" x14ac:dyDescent="0.25">
      <c r="A624" s="2">
        <v>622</v>
      </c>
      <c r="B624" s="3">
        <v>17</v>
      </c>
      <c r="C624" s="2">
        <v>1</v>
      </c>
      <c r="D624" s="9">
        <v>68</v>
      </c>
      <c r="E624" s="3" t="s">
        <v>53</v>
      </c>
      <c r="F624" s="3">
        <f>IF(E624="Happy", 1,2)</f>
        <v>2</v>
      </c>
      <c r="G624" s="11" t="s">
        <v>76</v>
      </c>
      <c r="H624" s="3" t="s">
        <v>76</v>
      </c>
      <c r="I624" s="3">
        <f t="shared" si="76"/>
        <v>2</v>
      </c>
      <c r="J624" s="3" t="s">
        <v>77</v>
      </c>
      <c r="K624" s="3">
        <v>1</v>
      </c>
      <c r="L624" s="6" t="s">
        <v>298</v>
      </c>
      <c r="M624" s="3">
        <v>-48</v>
      </c>
      <c r="N624" s="3">
        <f t="shared" si="77"/>
        <v>-0.48</v>
      </c>
      <c r="O624" s="3">
        <v>-35</v>
      </c>
      <c r="P624" s="3">
        <v>-0.35</v>
      </c>
      <c r="Q624" s="17">
        <v>0.24829431216931219</v>
      </c>
      <c r="R624" s="21">
        <v>0.2271184632821793</v>
      </c>
      <c r="S624" s="3">
        <v>2</v>
      </c>
      <c r="T624" s="3">
        <v>31.23</v>
      </c>
      <c r="U624" s="3">
        <v>165.31</v>
      </c>
      <c r="V624" s="26">
        <v>-1.2802888248275299</v>
      </c>
      <c r="W624" s="18">
        <v>-0.85059119047312104</v>
      </c>
      <c r="X624" s="18">
        <v>-0.56568377205995801</v>
      </c>
      <c r="Y624" s="18">
        <v>-0.417036114847529</v>
      </c>
      <c r="Z624" s="18">
        <v>-0.407277515038585</v>
      </c>
      <c r="AA624" s="18">
        <v>-0.52450361843945803</v>
      </c>
      <c r="AB624" s="18">
        <v>-0.218076473357048</v>
      </c>
      <c r="AC624" s="18">
        <v>9.7126727059286905E-2</v>
      </c>
      <c r="AD624" s="18">
        <v>-0.26093338573400798</v>
      </c>
      <c r="AE624" s="21">
        <v>-0.82350677771200698</v>
      </c>
      <c r="AF624" s="3">
        <v>1.1368</v>
      </c>
      <c r="AG624" s="3">
        <v>3.7238E-2</v>
      </c>
      <c r="AH624" s="3">
        <v>4.2688899999999999</v>
      </c>
      <c r="AI624" s="3">
        <v>0.17902399999999999</v>
      </c>
      <c r="AJ624" s="3">
        <v>7.0903300000000002E-2</v>
      </c>
      <c r="AK624" s="3">
        <v>3.3442099999999999</v>
      </c>
      <c r="AL624" s="3">
        <v>0</v>
      </c>
      <c r="AM624" s="3">
        <v>4.2817399999999999E-2</v>
      </c>
      <c r="AN624" s="3">
        <v>1.6507000000000001</v>
      </c>
      <c r="AO624" s="3">
        <v>52.919600000000003</v>
      </c>
      <c r="AP624" s="3">
        <v>0.18876000000000001</v>
      </c>
      <c r="AQ624" s="3">
        <v>-0.19308400000000001</v>
      </c>
      <c r="AR624" s="3">
        <v>54.065300000000001</v>
      </c>
      <c r="AS624" s="3">
        <v>0.20142199999999999</v>
      </c>
      <c r="AT624" s="3">
        <v>-0.33983799999999997</v>
      </c>
      <c r="AU624" s="3">
        <v>54.226500000000001</v>
      </c>
      <c r="AV624" s="3">
        <v>0.27196799999999999</v>
      </c>
      <c r="AW624" s="3">
        <v>-0.51268400000000003</v>
      </c>
      <c r="AX624" s="3">
        <v>0</v>
      </c>
      <c r="AY624" s="3">
        <v>0.10381600000000001</v>
      </c>
      <c r="AZ624" s="21">
        <v>-0.36390600000000001</v>
      </c>
      <c r="BA624" s="3">
        <v>134.08000000000001</v>
      </c>
      <c r="BB624" s="3">
        <v>1</v>
      </c>
    </row>
    <row r="625" spans="1:54" ht="204.75" customHeight="1" x14ac:dyDescent="0.25">
      <c r="A625" s="2">
        <v>623</v>
      </c>
      <c r="B625" s="3">
        <v>17</v>
      </c>
      <c r="C625" s="2">
        <v>1</v>
      </c>
      <c r="D625" s="9">
        <v>68</v>
      </c>
      <c r="E625" s="3" t="s">
        <v>53</v>
      </c>
      <c r="F625" s="3">
        <f>IF(E625="Happy", 1,2)</f>
        <v>2</v>
      </c>
      <c r="G625" s="12"/>
      <c r="H625" s="3" t="s">
        <v>76</v>
      </c>
      <c r="I625" s="3">
        <f t="shared" si="76"/>
        <v>2</v>
      </c>
      <c r="J625" s="3" t="s">
        <v>78</v>
      </c>
      <c r="K625" s="3">
        <v>2</v>
      </c>
      <c r="L625" s="6" t="s">
        <v>187</v>
      </c>
      <c r="M625" s="3">
        <v>-48</v>
      </c>
      <c r="N625" s="3">
        <f t="shared" si="77"/>
        <v>-0.48</v>
      </c>
      <c r="O625" s="3">
        <v>-35</v>
      </c>
      <c r="P625" s="3">
        <v>-0.35</v>
      </c>
      <c r="Q625" s="17">
        <v>-2.4404761904761912E-2</v>
      </c>
      <c r="R625" s="21">
        <v>0.28499185813683831</v>
      </c>
      <c r="S625" s="3">
        <v>3</v>
      </c>
      <c r="T625" s="3">
        <v>165.31</v>
      </c>
      <c r="U625" s="3">
        <v>275.27</v>
      </c>
      <c r="V625" s="26">
        <v>-0.23922371907590201</v>
      </c>
      <c r="W625" s="18">
        <v>-0.55606241823163205</v>
      </c>
      <c r="X625" s="18">
        <v>-0.40694920003025897</v>
      </c>
      <c r="Y625" s="18">
        <v>-8.6888389863430102E-2</v>
      </c>
      <c r="Z625" s="18">
        <v>-5.8645630910664102E-3</v>
      </c>
      <c r="AA625" s="18">
        <v>3.40624476089905E-2</v>
      </c>
      <c r="AB625" s="18">
        <v>1.1672699295356E-3</v>
      </c>
      <c r="AC625" s="18">
        <v>0.24649558024524801</v>
      </c>
      <c r="AD625" s="18">
        <v>-0.813394462493787</v>
      </c>
      <c r="AE625" s="21">
        <v>-0.56418498163980302</v>
      </c>
      <c r="AF625" s="3">
        <v>0.65490300000000001</v>
      </c>
      <c r="AG625" s="3">
        <v>0.298176</v>
      </c>
      <c r="AH625" s="3">
        <v>5.9888599999999999</v>
      </c>
      <c r="AI625" s="3">
        <v>0.66581800000000002</v>
      </c>
      <c r="AJ625" s="3">
        <v>4.6761799999999999E-2</v>
      </c>
      <c r="AK625" s="3">
        <v>2.90821</v>
      </c>
      <c r="AL625" s="3">
        <v>0</v>
      </c>
      <c r="AM625" s="3">
        <v>0</v>
      </c>
      <c r="AN625" s="3">
        <v>-0.48608600000000002</v>
      </c>
      <c r="AO625" s="3">
        <v>49.892699999999998</v>
      </c>
      <c r="AP625" s="3">
        <v>0.17521100000000001</v>
      </c>
      <c r="AQ625" s="3">
        <v>-0.23316999999999999</v>
      </c>
      <c r="AR625" s="3">
        <v>42.4268</v>
      </c>
      <c r="AS625" s="3">
        <v>0.23810999999999999</v>
      </c>
      <c r="AT625" s="3">
        <v>1.0340499999999999</v>
      </c>
      <c r="AU625" s="3">
        <v>45.09</v>
      </c>
      <c r="AV625" s="3">
        <v>0.45683499999999999</v>
      </c>
      <c r="AW625" s="3">
        <v>0.39471800000000001</v>
      </c>
      <c r="AX625" s="3">
        <v>0.97143900000000005</v>
      </c>
      <c r="AY625" s="3">
        <v>0.79771999999999998</v>
      </c>
      <c r="AZ625" s="21">
        <v>10.3149</v>
      </c>
      <c r="BA625" s="3">
        <v>109.96</v>
      </c>
      <c r="BB625" s="3">
        <v>2</v>
      </c>
    </row>
    <row r="626" spans="1:54" ht="126" customHeight="1" x14ac:dyDescent="0.25">
      <c r="A626" s="2">
        <v>624</v>
      </c>
      <c r="B626" s="3">
        <v>17</v>
      </c>
      <c r="C626" s="2">
        <v>1</v>
      </c>
      <c r="D626" s="9">
        <v>68</v>
      </c>
      <c r="E626" s="3" t="s">
        <v>53</v>
      </c>
      <c r="F626" s="3">
        <f>IF(E626="Happy", 1,2)</f>
        <v>2</v>
      </c>
      <c r="G626" s="12"/>
      <c r="H626" s="3" t="s">
        <v>76</v>
      </c>
      <c r="I626" s="3">
        <f t="shared" si="76"/>
        <v>2</v>
      </c>
      <c r="J626" s="3" t="s">
        <v>79</v>
      </c>
      <c r="K626" s="3">
        <v>3</v>
      </c>
      <c r="L626" s="6" t="s">
        <v>275</v>
      </c>
      <c r="M626" s="3">
        <v>-48</v>
      </c>
      <c r="N626" s="3">
        <f t="shared" si="77"/>
        <v>-0.48</v>
      </c>
      <c r="O626" s="3">
        <v>-35</v>
      </c>
      <c r="P626" s="3">
        <v>-0.35</v>
      </c>
      <c r="Q626" s="17">
        <v>0.1156646825396825</v>
      </c>
      <c r="R626" s="21">
        <v>0.38475642450828129</v>
      </c>
      <c r="S626" s="3">
        <v>4</v>
      </c>
      <c r="T626" s="3">
        <v>275.27</v>
      </c>
      <c r="U626" s="3">
        <v>348.56</v>
      </c>
      <c r="V626" s="26">
        <v>-0.64422481458798198</v>
      </c>
      <c r="W626" s="18">
        <v>0.16380666142074399</v>
      </c>
      <c r="X626" s="18">
        <v>-0.42310028356658302</v>
      </c>
      <c r="Y626" s="18">
        <v>-0.59800559970080702</v>
      </c>
      <c r="Z626" s="18">
        <v>-8.9765455346280304E-2</v>
      </c>
      <c r="AA626" s="18">
        <v>-0.359071271657455</v>
      </c>
      <c r="AB626" s="18">
        <v>1.4212122282149801E-2</v>
      </c>
      <c r="AC626" s="18">
        <v>0.126951201045263</v>
      </c>
      <c r="AD626" s="18">
        <v>-0.122147188796437</v>
      </c>
      <c r="AE626" s="21">
        <v>-0.49055039756991897</v>
      </c>
      <c r="AF626" s="3">
        <v>0</v>
      </c>
      <c r="AG626" s="3">
        <v>0.25408999999999998</v>
      </c>
      <c r="AH626" s="3">
        <v>-9.80935E-2</v>
      </c>
      <c r="AI626" s="3">
        <v>0.63882099999999997</v>
      </c>
      <c r="AJ626" s="3">
        <v>0.24610899999999999</v>
      </c>
      <c r="AK626" s="3">
        <v>3.75888</v>
      </c>
      <c r="AL626" s="3">
        <v>0</v>
      </c>
      <c r="AM626" s="3">
        <v>0</v>
      </c>
      <c r="AN626" s="3">
        <v>-0.48608600000000002</v>
      </c>
      <c r="AO626" s="3">
        <v>55.888599999999997</v>
      </c>
      <c r="AP626" s="3">
        <v>0.19650899999999999</v>
      </c>
      <c r="AQ626" s="3">
        <v>0.88244</v>
      </c>
      <c r="AR626" s="3">
        <v>56.216200000000001</v>
      </c>
      <c r="AS626" s="3">
        <v>0.33515200000000001</v>
      </c>
      <c r="AT626" s="3">
        <v>0.74479399999999996</v>
      </c>
      <c r="AU626" s="3">
        <v>52.710900000000002</v>
      </c>
      <c r="AV626" s="3">
        <v>0.36118899999999998</v>
      </c>
      <c r="AW626" s="3">
        <v>0.27813100000000002</v>
      </c>
      <c r="AX626" s="3">
        <v>0.13103999999999999</v>
      </c>
      <c r="AY626" s="3">
        <v>0.14332800000000001</v>
      </c>
      <c r="AZ626" s="21">
        <v>3.86991</v>
      </c>
      <c r="BA626" s="3">
        <v>73.290000000000006</v>
      </c>
      <c r="BB626" s="3">
        <v>3</v>
      </c>
    </row>
    <row r="627" spans="1:54" ht="141.75" customHeight="1" x14ac:dyDescent="0.25">
      <c r="A627" s="2">
        <v>625</v>
      </c>
      <c r="B627" s="3">
        <v>17</v>
      </c>
      <c r="C627" s="2">
        <v>1</v>
      </c>
      <c r="D627" s="9">
        <v>68</v>
      </c>
      <c r="E627" s="3" t="s">
        <v>53</v>
      </c>
      <c r="F627" s="3">
        <f>IF(E627="Happy", 1,2)</f>
        <v>2</v>
      </c>
      <c r="G627" s="12"/>
      <c r="H627" s="3" t="s">
        <v>76</v>
      </c>
      <c r="I627" s="3">
        <f t="shared" si="76"/>
        <v>2</v>
      </c>
      <c r="J627" s="3" t="s">
        <v>80</v>
      </c>
      <c r="K627" s="3">
        <v>4</v>
      </c>
      <c r="L627" s="6" t="s">
        <v>251</v>
      </c>
      <c r="M627" s="3">
        <v>-48</v>
      </c>
      <c r="N627" s="3">
        <f t="shared" si="77"/>
        <v>-0.48</v>
      </c>
      <c r="O627" s="3">
        <v>-35</v>
      </c>
      <c r="P627" s="3">
        <v>-0.35</v>
      </c>
      <c r="Q627" s="17">
        <v>-2.295454545454546E-2</v>
      </c>
      <c r="R627" s="21">
        <v>0.24529159621095289</v>
      </c>
      <c r="S627" s="3">
        <v>5</v>
      </c>
      <c r="T627" s="3">
        <v>348.56</v>
      </c>
      <c r="U627" s="3">
        <v>464.67</v>
      </c>
      <c r="V627" s="26">
        <v>3.7757727863648401E-2</v>
      </c>
      <c r="W627" s="18">
        <v>-0.537636700206925</v>
      </c>
      <c r="X627" s="18">
        <v>0.23257122433213501</v>
      </c>
      <c r="Y627" s="18">
        <v>-0.71784988938723404</v>
      </c>
      <c r="Z627" s="18">
        <v>0.264536720631596</v>
      </c>
      <c r="AA627" s="18">
        <v>0.38497099206296298</v>
      </c>
      <c r="AB627" s="18">
        <v>0.37025764571617398</v>
      </c>
      <c r="AC627" s="18">
        <v>0.17082522062793801</v>
      </c>
      <c r="AD627" s="18">
        <v>1.7345974293490201</v>
      </c>
      <c r="AE627" s="21">
        <v>-0.29685942642956897</v>
      </c>
      <c r="AF627" s="3">
        <v>0</v>
      </c>
      <c r="AG627" s="3">
        <v>0.211697</v>
      </c>
      <c r="AH627" s="3">
        <v>-0.135737</v>
      </c>
      <c r="AI627" s="3">
        <v>0.77519400000000005</v>
      </c>
      <c r="AJ627" s="3">
        <v>5.4914299999999999E-2</v>
      </c>
      <c r="AK627" s="3">
        <v>2.7278500000000001</v>
      </c>
      <c r="AL627" s="3">
        <v>0</v>
      </c>
      <c r="AM627" s="3">
        <v>0</v>
      </c>
      <c r="AN627" s="3">
        <v>-0.48608600000000002</v>
      </c>
      <c r="AO627" s="3">
        <v>55.917299999999997</v>
      </c>
      <c r="AP627" s="3">
        <v>3.1552400000000001E-2</v>
      </c>
      <c r="AQ627" s="3">
        <v>-0.96712399999999998</v>
      </c>
      <c r="AR627" s="3">
        <v>47.627899999999997</v>
      </c>
      <c r="AS627" s="3">
        <v>0.10105600000000001</v>
      </c>
      <c r="AT627" s="3">
        <v>-0.55190300000000003</v>
      </c>
      <c r="AU627" s="3">
        <v>52.744199999999999</v>
      </c>
      <c r="AV627" s="3">
        <v>0.23075399999999999</v>
      </c>
      <c r="AW627" s="3">
        <v>-0.79486199999999996</v>
      </c>
      <c r="AX627" s="3">
        <v>0.31007800000000002</v>
      </c>
      <c r="AY627" s="3">
        <v>9.9893899999999994E-2</v>
      </c>
      <c r="AZ627" s="21">
        <v>3.8610799999999998</v>
      </c>
      <c r="BA627" s="3">
        <v>116.11</v>
      </c>
      <c r="BB627" s="3">
        <v>4</v>
      </c>
    </row>
  </sheetData>
  <mergeCells count="94">
    <mergeCell ref="V1:AE1"/>
    <mergeCell ref="AF1:AZ1"/>
    <mergeCell ref="Q1:R1"/>
    <mergeCell ref="G36:G56"/>
    <mergeCell ref="G57:G63"/>
    <mergeCell ref="G64:G71"/>
    <mergeCell ref="G3:G10"/>
    <mergeCell ref="G11:G21"/>
    <mergeCell ref="G22:G35"/>
    <mergeCell ref="G91:G93"/>
    <mergeCell ref="G94:G96"/>
    <mergeCell ref="G97:G105"/>
    <mergeCell ref="G72:G78"/>
    <mergeCell ref="G79:G83"/>
    <mergeCell ref="G84:G90"/>
    <mergeCell ref="G125:G133"/>
    <mergeCell ref="G134:G139"/>
    <mergeCell ref="G140:G146"/>
    <mergeCell ref="G106:G113"/>
    <mergeCell ref="G114:G118"/>
    <mergeCell ref="G119:G124"/>
    <mergeCell ref="G171:G183"/>
    <mergeCell ref="G184:G193"/>
    <mergeCell ref="G194:G200"/>
    <mergeCell ref="G147:G152"/>
    <mergeCell ref="G153:G160"/>
    <mergeCell ref="G161:G170"/>
    <mergeCell ref="G217:G222"/>
    <mergeCell ref="G223:G227"/>
    <mergeCell ref="G228:G230"/>
    <mergeCell ref="G201:G206"/>
    <mergeCell ref="G207:G213"/>
    <mergeCell ref="G214:G216"/>
    <mergeCell ref="G252:G260"/>
    <mergeCell ref="G261:G266"/>
    <mergeCell ref="G267:G274"/>
    <mergeCell ref="G231:G240"/>
    <mergeCell ref="G241:G247"/>
    <mergeCell ref="G248:G251"/>
    <mergeCell ref="G301:G306"/>
    <mergeCell ref="G308:G310"/>
    <mergeCell ref="G311:G314"/>
    <mergeCell ref="G275:G286"/>
    <mergeCell ref="G287:G294"/>
    <mergeCell ref="G295:G300"/>
    <mergeCell ref="G328:G331"/>
    <mergeCell ref="G332:G334"/>
    <mergeCell ref="G335:G338"/>
    <mergeCell ref="G315:G319"/>
    <mergeCell ref="G320:G322"/>
    <mergeCell ref="G323:G327"/>
    <mergeCell ref="G356:G364"/>
    <mergeCell ref="G365:G377"/>
    <mergeCell ref="G378:G386"/>
    <mergeCell ref="G339:G343"/>
    <mergeCell ref="G344:G347"/>
    <mergeCell ref="G348:G355"/>
    <mergeCell ref="G417:G429"/>
    <mergeCell ref="G430:G442"/>
    <mergeCell ref="G443:G454"/>
    <mergeCell ref="G387:G399"/>
    <mergeCell ref="G400:G408"/>
    <mergeCell ref="G409:G416"/>
    <mergeCell ref="G485:G497"/>
    <mergeCell ref="G498:G510"/>
    <mergeCell ref="G511:G513"/>
    <mergeCell ref="G455:G466"/>
    <mergeCell ref="G467:G477"/>
    <mergeCell ref="G478:G484"/>
    <mergeCell ref="G528:G532"/>
    <mergeCell ref="G533:G536"/>
    <mergeCell ref="G537:G541"/>
    <mergeCell ref="G514:G519"/>
    <mergeCell ref="G520:G523"/>
    <mergeCell ref="G524:G527"/>
    <mergeCell ref="G554:G558"/>
    <mergeCell ref="G559:G565"/>
    <mergeCell ref="G566:G569"/>
    <mergeCell ref="G543:G544"/>
    <mergeCell ref="G546:G547"/>
    <mergeCell ref="G549:G553"/>
    <mergeCell ref="G587:G590"/>
    <mergeCell ref="G591:G593"/>
    <mergeCell ref="G594:G598"/>
    <mergeCell ref="G570:G576"/>
    <mergeCell ref="G577:G582"/>
    <mergeCell ref="G583:G586"/>
    <mergeCell ref="G624:G627"/>
    <mergeCell ref="G611:G614"/>
    <mergeCell ref="G615:G618"/>
    <mergeCell ref="G619:G623"/>
    <mergeCell ref="G599:G603"/>
    <mergeCell ref="G604:G607"/>
    <mergeCell ref="G608:G610"/>
  </mergeCells>
  <conditionalFormatting sqref="H2:K627">
    <cfRule type="beginsWith" dxfId="1" priority="14" operator="beginsWith" text="HM">
      <formula>LEFT(H2,LEN("HM"))="HM"</formula>
    </cfRule>
    <cfRule type="beginsWith" dxfId="0" priority="15" operator="beginsWith" text="SM">
      <formula>LEFT(H2,LEN("SM"))="SM"</formula>
    </cfRule>
  </conditionalFormatting>
  <conditionalFormatting sqref="N97">
    <cfRule type="colorScale" priority="4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104">
    <cfRule type="colorScale" priority="4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233">
    <cfRule type="colorScale" priority="4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234:N477 N98:N103 N105:N213 N3:N96 N217:N232">
    <cfRule type="colorScale" priority="4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478:N627">
    <cfRule type="colorScale" priority="4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1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1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2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3:P213 P217:P627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9" orientation="portrait" horizontalDpi="4294967292" verticalDpi="4294967292" r:id="rId1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C27E58-7BAD-45A8-B0B5-CB993B9E1850}">
  <dimension ref="A1"/>
  <sheetViews>
    <sheetView workbookViewId="0"/>
  </sheetViews>
  <sheetFormatPr defaultRowHeight="15.7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Datafile_S2_N=17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Deniece Nazareth</dc:creator>
  <cp:lastModifiedBy>Nazareth, Deniece (UT-LISA)</cp:lastModifiedBy>
  <dcterms:created xsi:type="dcterms:W3CDTF">2020-08-24T23:47:33Z</dcterms:created>
  <dcterms:modified xsi:type="dcterms:W3CDTF">2025-09-05T19:49:11Z</dcterms:modified>
</cp:coreProperties>
</file>